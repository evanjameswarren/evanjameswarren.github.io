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dawgsmac/LocalFiles/CSUEB/Fall2025/EngrEconomics/InClass/Project/"/>
    </mc:Choice>
  </mc:AlternateContent>
  <xr:revisionPtr revIDLastSave="0" documentId="13_ncr:1_{805B81B9-A730-A840-A7DB-BF2A770C15FA}" xr6:coauthVersionLast="47" xr6:coauthVersionMax="47" xr10:uidLastSave="{00000000-0000-0000-0000-000000000000}"/>
  <bookViews>
    <workbookView xWindow="0" yWindow="740" windowWidth="30240" windowHeight="18900" xr2:uid="{31346730-30C5-2D43-B1DA-730A6305F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25" i="1"/>
  <c r="J24" i="1"/>
  <c r="K24" i="1" s="1"/>
  <c r="H26" i="1"/>
  <c r="H27" i="1" s="1"/>
  <c r="H28" i="1" s="1"/>
  <c r="H29" i="1" s="1"/>
  <c r="H30" i="1" s="1"/>
  <c r="H31" i="1" s="1"/>
  <c r="H32" i="1" s="1"/>
  <c r="H33" i="1" s="1"/>
  <c r="H25" i="1"/>
  <c r="H24" i="1"/>
  <c r="I24" i="1"/>
  <c r="G26" i="1"/>
  <c r="G25" i="1"/>
  <c r="I133" i="1"/>
  <c r="I135" i="1"/>
  <c r="I134" i="1"/>
  <c r="B132" i="1"/>
  <c r="C132" i="1" s="1"/>
  <c r="D132" i="1" s="1"/>
  <c r="E132" i="1" s="1"/>
  <c r="F132" i="1" s="1"/>
  <c r="G132" i="1" s="1"/>
  <c r="H132" i="1" s="1"/>
  <c r="G27" i="1" l="1"/>
  <c r="G28" i="1" l="1"/>
  <c r="G29" i="1" l="1"/>
  <c r="G30" i="1" l="1"/>
  <c r="G31" i="1" l="1"/>
  <c r="G32" i="1" l="1"/>
  <c r="G33" i="1" l="1"/>
  <c r="B18" i="1"/>
  <c r="K32" i="1" s="1"/>
  <c r="I119" i="1"/>
  <c r="B72" i="1"/>
  <c r="B23" i="1"/>
  <c r="I127" i="1"/>
  <c r="B126" i="1"/>
  <c r="C126" i="1" s="1"/>
  <c r="D126" i="1" s="1"/>
  <c r="E126" i="1" s="1"/>
  <c r="F126" i="1" s="1"/>
  <c r="G126" i="1" s="1"/>
  <c r="H126" i="1" s="1"/>
  <c r="I123" i="1"/>
  <c r="B122" i="1"/>
  <c r="C122" i="1" s="1"/>
  <c r="D122" i="1" s="1"/>
  <c r="E122" i="1" s="1"/>
  <c r="F122" i="1" s="1"/>
  <c r="G122" i="1" s="1"/>
  <c r="H122" i="1" s="1"/>
  <c r="B118" i="1"/>
  <c r="C118" i="1" s="1"/>
  <c r="D118" i="1" s="1"/>
  <c r="E118" i="1" s="1"/>
  <c r="F118" i="1" s="1"/>
  <c r="G118" i="1" s="1"/>
  <c r="H118" i="1" s="1"/>
  <c r="G51" i="1"/>
  <c r="G52" i="1" s="1"/>
  <c r="B98" i="1"/>
  <c r="B100" i="1" s="1"/>
  <c r="C99" i="1"/>
  <c r="B99" i="1"/>
  <c r="D93" i="1"/>
  <c r="E93" i="1" s="1"/>
  <c r="F93" i="1" s="1"/>
  <c r="M25" i="1"/>
  <c r="M26" i="1" s="1"/>
  <c r="M27" i="1" s="1"/>
  <c r="M28" i="1" s="1"/>
  <c r="M29" i="1" s="1"/>
  <c r="M30" i="1" s="1"/>
  <c r="M31" i="1" s="1"/>
  <c r="M32" i="1" s="1"/>
  <c r="M33" i="1" s="1"/>
  <c r="K83" i="1"/>
  <c r="K84" i="1"/>
  <c r="K85" i="1"/>
  <c r="K86" i="1"/>
  <c r="K87" i="1"/>
  <c r="K88" i="1"/>
  <c r="K89" i="1"/>
  <c r="K82" i="1"/>
  <c r="J82" i="1" s="1"/>
  <c r="I86" i="1"/>
  <c r="I85" i="1"/>
  <c r="I84" i="1"/>
  <c r="I83" i="1"/>
  <c r="I87" i="1"/>
  <c r="I88" i="1"/>
  <c r="I89" i="1"/>
  <c r="I82" i="1"/>
  <c r="H82" i="1" s="1"/>
  <c r="G82" i="1"/>
  <c r="G83" i="1" s="1"/>
  <c r="G84" i="1" s="1"/>
  <c r="G85" i="1" s="1"/>
  <c r="G86" i="1" s="1"/>
  <c r="G87" i="1" s="1"/>
  <c r="P24" i="1" l="1"/>
  <c r="Q24" i="1" s="1"/>
  <c r="L50" i="1" s="1"/>
  <c r="I26" i="1"/>
  <c r="K26" i="1"/>
  <c r="K25" i="1"/>
  <c r="I25" i="1"/>
  <c r="K27" i="1"/>
  <c r="I27" i="1"/>
  <c r="I28" i="1"/>
  <c r="K28" i="1"/>
  <c r="K29" i="1"/>
  <c r="I29" i="1"/>
  <c r="K30" i="1"/>
  <c r="I30" i="1"/>
  <c r="I31" i="1"/>
  <c r="K31" i="1"/>
  <c r="I32" i="1"/>
  <c r="K33" i="1"/>
  <c r="I33" i="1"/>
  <c r="G34" i="1"/>
  <c r="N24" i="1"/>
  <c r="O24" i="1" s="1"/>
  <c r="I50" i="1" s="1"/>
  <c r="P33" i="1"/>
  <c r="N32" i="1"/>
  <c r="O32" i="1" s="1"/>
  <c r="I58" i="1" s="1"/>
  <c r="M34" i="1"/>
  <c r="P25" i="1"/>
  <c r="N33" i="1"/>
  <c r="O33" i="1" s="1"/>
  <c r="I59" i="1" s="1"/>
  <c r="G53" i="1"/>
  <c r="P32" i="1"/>
  <c r="P30" i="1"/>
  <c r="P31" i="1"/>
  <c r="P29" i="1"/>
  <c r="P26" i="1"/>
  <c r="P28" i="1"/>
  <c r="P27" i="1"/>
  <c r="N29" i="1"/>
  <c r="O29" i="1" s="1"/>
  <c r="I55" i="1" s="1"/>
  <c r="N27" i="1"/>
  <c r="O27" i="1" s="1"/>
  <c r="I53" i="1" s="1"/>
  <c r="N30" i="1"/>
  <c r="O30" i="1" s="1"/>
  <c r="I56" i="1" s="1"/>
  <c r="N28" i="1"/>
  <c r="O28" i="1" s="1"/>
  <c r="I54" i="1" s="1"/>
  <c r="N26" i="1"/>
  <c r="O26" i="1" s="1"/>
  <c r="I52" i="1" s="1"/>
  <c r="N31" i="1"/>
  <c r="O31" i="1" s="1"/>
  <c r="I57" i="1" s="1"/>
  <c r="N25" i="1"/>
  <c r="O25" i="1" s="1"/>
  <c r="I51" i="1" s="1"/>
  <c r="G93" i="1"/>
  <c r="D99" i="1"/>
  <c r="F99" i="1"/>
  <c r="E99" i="1"/>
  <c r="J83" i="1"/>
  <c r="J84" i="1" s="1"/>
  <c r="J85" i="1" s="1"/>
  <c r="J86" i="1" s="1"/>
  <c r="J87" i="1" s="1"/>
  <c r="J88" i="1" s="1"/>
  <c r="J89" i="1" s="1"/>
  <c r="H83" i="1"/>
  <c r="H84" i="1" s="1"/>
  <c r="H85" i="1" s="1"/>
  <c r="H86" i="1" s="1"/>
  <c r="H87" i="1" s="1"/>
  <c r="H88" i="1" s="1"/>
  <c r="H89" i="1" s="1"/>
  <c r="G88" i="1"/>
  <c r="K34" i="1" l="1"/>
  <c r="G35" i="1"/>
  <c r="M35" i="1"/>
  <c r="P34" i="1"/>
  <c r="Q34" i="1" s="1"/>
  <c r="L60" i="1" s="1"/>
  <c r="G54" i="1"/>
  <c r="G99" i="1"/>
  <c r="H93" i="1"/>
  <c r="Q27" i="1"/>
  <c r="L53" i="1" s="1"/>
  <c r="Q26" i="1"/>
  <c r="L52" i="1" s="1"/>
  <c r="Q25" i="1"/>
  <c r="L51" i="1" s="1"/>
  <c r="Q28" i="1"/>
  <c r="L54" i="1" s="1"/>
  <c r="G36" i="1" l="1"/>
  <c r="K35" i="1"/>
  <c r="M36" i="1"/>
  <c r="P35" i="1"/>
  <c r="Q35" i="1" s="1"/>
  <c r="L61" i="1" s="1"/>
  <c r="G55" i="1"/>
  <c r="H99" i="1"/>
  <c r="I93" i="1"/>
  <c r="Q29" i="1"/>
  <c r="L55" i="1" s="1"/>
  <c r="G37" i="1" l="1"/>
  <c r="K36" i="1"/>
  <c r="M37" i="1"/>
  <c r="P36" i="1"/>
  <c r="Q36" i="1" s="1"/>
  <c r="L62" i="1" s="1"/>
  <c r="G56" i="1"/>
  <c r="J93" i="1"/>
  <c r="I99" i="1"/>
  <c r="Q30" i="1"/>
  <c r="L56" i="1" s="1"/>
  <c r="G38" i="1" l="1"/>
  <c r="K37" i="1"/>
  <c r="M38" i="1"/>
  <c r="P37" i="1"/>
  <c r="Q37" i="1" s="1"/>
  <c r="L63" i="1" s="1"/>
  <c r="G57" i="1"/>
  <c r="J99" i="1"/>
  <c r="K93" i="1"/>
  <c r="Q31" i="1"/>
  <c r="L57" i="1" s="1"/>
  <c r="K38" i="1" l="1"/>
  <c r="G39" i="1"/>
  <c r="M39" i="1"/>
  <c r="P38" i="1"/>
  <c r="Q38" i="1" s="1"/>
  <c r="L64" i="1" s="1"/>
  <c r="G58" i="1"/>
  <c r="K99" i="1"/>
  <c r="L93" i="1"/>
  <c r="L99" i="1" s="1"/>
  <c r="Q32" i="1"/>
  <c r="L58" i="1" s="1"/>
  <c r="G40" i="1" l="1"/>
  <c r="K39" i="1"/>
  <c r="M40" i="1"/>
  <c r="P39" i="1"/>
  <c r="Q39" i="1" s="1"/>
  <c r="L65" i="1" s="1"/>
  <c r="G59" i="1"/>
  <c r="Q33" i="1"/>
  <c r="L59" i="1" s="1"/>
  <c r="J16" i="1"/>
  <c r="H16" i="1"/>
  <c r="J15" i="1"/>
  <c r="H15" i="1"/>
  <c r="D67" i="1"/>
  <c r="J14" i="1" s="1"/>
  <c r="B67" i="1"/>
  <c r="H14" i="1" s="1"/>
  <c r="D52" i="1"/>
  <c r="J12" i="1" s="1"/>
  <c r="B52" i="1"/>
  <c r="H12" i="1" s="1"/>
  <c r="D43" i="1"/>
  <c r="B43" i="1"/>
  <c r="D42" i="1"/>
  <c r="B42" i="1"/>
  <c r="B33" i="1"/>
  <c r="K40" i="1" l="1"/>
  <c r="G41" i="1"/>
  <c r="M41" i="1"/>
  <c r="P40" i="1"/>
  <c r="Q40" i="1" s="1"/>
  <c r="L66" i="1" s="1"/>
  <c r="G60" i="1"/>
  <c r="B45" i="1"/>
  <c r="H13" i="1" s="1"/>
  <c r="H18" i="1" s="1"/>
  <c r="D45" i="1"/>
  <c r="J13" i="1" s="1"/>
  <c r="J18" i="1" s="1"/>
  <c r="K41" i="1" l="1"/>
  <c r="G42" i="1"/>
  <c r="K51" i="1"/>
  <c r="M51" i="1" s="1"/>
  <c r="K61" i="1"/>
  <c r="M61" i="1" s="1"/>
  <c r="K50" i="1"/>
  <c r="M50" i="1" s="1"/>
  <c r="K64" i="1"/>
  <c r="M64" i="1" s="1"/>
  <c r="K52" i="1"/>
  <c r="M52" i="1" s="1"/>
  <c r="K62" i="1"/>
  <c r="M62" i="1" s="1"/>
  <c r="K54" i="1"/>
  <c r="M54" i="1" s="1"/>
  <c r="K55" i="1"/>
  <c r="M55" i="1" s="1"/>
  <c r="K65" i="1"/>
  <c r="M65" i="1" s="1"/>
  <c r="K56" i="1"/>
  <c r="M56" i="1" s="1"/>
  <c r="K66" i="1"/>
  <c r="M66" i="1" s="1"/>
  <c r="K57" i="1"/>
  <c r="M57" i="1" s="1"/>
  <c r="K67" i="1"/>
  <c r="K58" i="1"/>
  <c r="M58" i="1" s="1"/>
  <c r="K68" i="1"/>
  <c r="K59" i="1"/>
  <c r="M59" i="1" s="1"/>
  <c r="K60" i="1"/>
  <c r="M60" i="1" s="1"/>
  <c r="K53" i="1"/>
  <c r="M53" i="1" s="1"/>
  <c r="K63" i="1"/>
  <c r="M63" i="1" s="1"/>
  <c r="K69" i="1"/>
  <c r="H50" i="1"/>
  <c r="J50" i="1" s="1"/>
  <c r="H59" i="1"/>
  <c r="J59" i="1" s="1"/>
  <c r="H51" i="1"/>
  <c r="J51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2" i="1"/>
  <c r="J52" i="1" s="1"/>
  <c r="M42" i="1"/>
  <c r="P41" i="1"/>
  <c r="Q41" i="1" s="1"/>
  <c r="L67" i="1" s="1"/>
  <c r="G61" i="1"/>
  <c r="C94" i="1"/>
  <c r="N59" i="1" l="1"/>
  <c r="K42" i="1"/>
  <c r="G43" i="1"/>
  <c r="M67" i="1"/>
  <c r="C96" i="1"/>
  <c r="C97" i="1" s="1"/>
  <c r="C98" i="1" s="1"/>
  <c r="C100" i="1" s="1"/>
  <c r="P42" i="1"/>
  <c r="Q42" i="1" s="1"/>
  <c r="L68" i="1" s="1"/>
  <c r="M68" i="1" s="1"/>
  <c r="M43" i="1"/>
  <c r="G62" i="1"/>
  <c r="D94" i="1"/>
  <c r="K43" i="1" l="1"/>
  <c r="D96" i="1"/>
  <c r="D97" i="1" s="1"/>
  <c r="D98" i="1" s="1"/>
  <c r="D100" i="1" s="1"/>
  <c r="P43" i="1"/>
  <c r="Q43" i="1" s="1"/>
  <c r="L69" i="1" s="1"/>
  <c r="M69" i="1" s="1"/>
  <c r="G63" i="1"/>
  <c r="E94" i="1"/>
  <c r="E96" i="1" l="1"/>
  <c r="E97" i="1" s="1"/>
  <c r="E98" i="1" s="1"/>
  <c r="E100" i="1" s="1"/>
  <c r="G64" i="1"/>
  <c r="F94" i="1"/>
  <c r="G94" i="1" l="1"/>
  <c r="H94" i="1" s="1"/>
  <c r="F96" i="1"/>
  <c r="F97" i="1" s="1"/>
  <c r="F98" i="1" s="1"/>
  <c r="F100" i="1" s="1"/>
  <c r="G65" i="1"/>
  <c r="H96" i="1" l="1"/>
  <c r="H97" i="1" s="1"/>
  <c r="H98" i="1" s="1"/>
  <c r="H100" i="1" s="1"/>
  <c r="G96" i="1"/>
  <c r="G97" i="1" s="1"/>
  <c r="G98" i="1" s="1"/>
  <c r="G100" i="1" s="1"/>
  <c r="G66" i="1"/>
  <c r="I94" i="1"/>
  <c r="I96" i="1" l="1"/>
  <c r="I97" i="1" s="1"/>
  <c r="I98" i="1" s="1"/>
  <c r="I100" i="1" s="1"/>
  <c r="G67" i="1"/>
  <c r="J94" i="1"/>
  <c r="J96" i="1" l="1"/>
  <c r="J97" i="1" s="1"/>
  <c r="J98" i="1" s="1"/>
  <c r="J100" i="1" s="1"/>
  <c r="G68" i="1"/>
  <c r="K94" i="1"/>
  <c r="K96" i="1" l="1"/>
  <c r="K97" i="1" s="1"/>
  <c r="K98" i="1" s="1"/>
  <c r="K100" i="1" s="1"/>
  <c r="G69" i="1"/>
  <c r="L94" i="1"/>
  <c r="L96" i="1" l="1"/>
  <c r="L97" i="1" s="1"/>
  <c r="L98" i="1" s="1"/>
  <c r="L100" i="1" s="1"/>
  <c r="A104" i="1" s="1"/>
  <c r="A107" i="1" s="1"/>
  <c r="A119" i="1" s="1"/>
  <c r="A127" i="1" l="1"/>
  <c r="A123" i="1"/>
</calcChain>
</file>

<file path=xl/sharedStrings.xml><?xml version="1.0" encoding="utf-8"?>
<sst xmlns="http://schemas.openxmlformats.org/spreadsheetml/2006/main" count="153" uniqueCount="92">
  <si>
    <t xml:space="preserve">Tractor Comparison </t>
  </si>
  <si>
    <r>
      <rPr>
        <b/>
        <sz val="12"/>
        <color theme="1"/>
        <rFont val="Aptos Narrow"/>
        <scheme val="minor"/>
      </rPr>
      <t xml:space="preserve">Group 8, Members </t>
    </r>
    <r>
      <rPr>
        <sz val="12"/>
        <color theme="1"/>
        <rFont val="Aptos Narrow"/>
        <family val="2"/>
        <scheme val="minor"/>
      </rPr>
      <t>: Evan Warren, Iddrissa  Dembele, Pili Fonua</t>
    </r>
  </si>
  <si>
    <r>
      <rPr>
        <b/>
        <sz val="12"/>
        <color theme="1"/>
        <rFont val="Aptos Narrow"/>
        <scheme val="minor"/>
      </rPr>
      <t>Case IH Magnum 215 (2010)</t>
    </r>
    <r>
      <rPr>
        <sz val="12"/>
        <color theme="1"/>
        <rFont val="Aptos Narrow"/>
        <family val="2"/>
        <scheme val="minor"/>
      </rPr>
      <t xml:space="preserve">  vs. </t>
    </r>
    <r>
      <rPr>
        <b/>
        <sz val="12"/>
        <color theme="1"/>
        <rFont val="Aptos Narrow"/>
        <scheme val="minor"/>
      </rPr>
      <t>Case IH Magnum 250 AFS Connect (2024)</t>
    </r>
  </si>
  <si>
    <t>Case IH Magnum 215 (2010)</t>
  </si>
  <si>
    <t>Tax</t>
  </si>
  <si>
    <t>Annual Equipment Operation hours</t>
  </si>
  <si>
    <t>Diesel/Gal Cost</t>
  </si>
  <si>
    <t>Fuel</t>
  </si>
  <si>
    <t>Engine Size (HP)</t>
  </si>
  <si>
    <t>Gal/(Hp-Hour)</t>
  </si>
  <si>
    <t>MARR</t>
  </si>
  <si>
    <t>Machine Fuel Consumption</t>
  </si>
  <si>
    <t>Gal/Hour</t>
  </si>
  <si>
    <t>Machine Tires</t>
  </si>
  <si>
    <t>Avg. Tire Lifecycle (Hours)</t>
  </si>
  <si>
    <t>Price of Front Tire</t>
  </si>
  <si>
    <t>Number of Back Tires</t>
  </si>
  <si>
    <t>Number of FrontTtires</t>
  </si>
  <si>
    <t>Machine Specs</t>
  </si>
  <si>
    <t>Hours at Purchase</t>
  </si>
  <si>
    <t>Hours on Transmission</t>
  </si>
  <si>
    <t>Purchase Price</t>
  </si>
  <si>
    <t>Price of Back Tire</t>
  </si>
  <si>
    <t>Price of Full Set</t>
  </si>
  <si>
    <t>Annual Tire Price</t>
  </si>
  <si>
    <t>Annual Tire Wear rate</t>
  </si>
  <si>
    <t>Oil change Price</t>
  </si>
  <si>
    <t>Machine Independent</t>
  </si>
  <si>
    <t>Routine maintance</t>
  </si>
  <si>
    <t>Oil change interval (Hours)</t>
  </si>
  <si>
    <t xml:space="preserve">Annual avg Job load Scale.       (0-150) Hp  </t>
  </si>
  <si>
    <t>Fuel and Air filter Change</t>
  </si>
  <si>
    <t>Self-Service Oil change</t>
  </si>
  <si>
    <t>Filter change interval (Hours)</t>
  </si>
  <si>
    <t>Hydrolic Maintance</t>
  </si>
  <si>
    <t>Transmission Maintance</t>
  </si>
  <si>
    <t>Trans. Maint. Interval (Hours)</t>
  </si>
  <si>
    <t>Engine Efficentcy Adjustment</t>
  </si>
  <si>
    <t>General Annual Maint.</t>
  </si>
  <si>
    <t>Routine Annual Cost</t>
  </si>
  <si>
    <t>Hydrolic interval (Hours)</t>
  </si>
  <si>
    <t>Iowa Tractor Insurance Rates</t>
  </si>
  <si>
    <t>Annual Costs</t>
  </si>
  <si>
    <t>Tires</t>
  </si>
  <si>
    <t>Unscheduled Repairs</t>
  </si>
  <si>
    <t>Routine Maintance</t>
  </si>
  <si>
    <t>Insurance</t>
  </si>
  <si>
    <t>Unschduled Repairs</t>
  </si>
  <si>
    <t>Depreciation</t>
  </si>
  <si>
    <t>Year</t>
  </si>
  <si>
    <t>Book Value</t>
  </si>
  <si>
    <t>MACRS 7YR</t>
  </si>
  <si>
    <t>Case IH Magnum 250 (2024)</t>
  </si>
  <si>
    <t>Case IH Magnum 250  (2024)</t>
  </si>
  <si>
    <t>Salvage</t>
  </si>
  <si>
    <t>CR</t>
  </si>
  <si>
    <t>AOC</t>
  </si>
  <si>
    <t>AEC</t>
  </si>
  <si>
    <t>Annual Unexpected Repairs</t>
  </si>
  <si>
    <t>NPV</t>
  </si>
  <si>
    <t>Economic Life</t>
  </si>
  <si>
    <t>Resale Depeciation Year 1</t>
  </si>
  <si>
    <t>Annual Resale Depreciation</t>
  </si>
  <si>
    <t>-</t>
  </si>
  <si>
    <t>AEC Difference</t>
  </si>
  <si>
    <t>PW</t>
  </si>
  <si>
    <t>Case IH Magnum 215 (2010) After-Tax Proforma Table</t>
  </si>
  <si>
    <t>Opperating Costs</t>
  </si>
  <si>
    <t>Taxible Impact</t>
  </si>
  <si>
    <t>Tax Shield</t>
  </si>
  <si>
    <t>After Tax PV Factor</t>
  </si>
  <si>
    <t>Scrap Salvage Value</t>
  </si>
  <si>
    <t>1st Trans. Rebuild Salvage Value</t>
  </si>
  <si>
    <t>Strict Annual Dep. Rate</t>
  </si>
  <si>
    <t>Initial Remaining Tran. Hours</t>
  </si>
  <si>
    <t xml:space="preserve"> </t>
  </si>
  <si>
    <t>Scrap Year of 600 hr/Yr</t>
  </si>
  <si>
    <t>(Case 250 - Case 215)</t>
  </si>
  <si>
    <t>* At a 10 year economic life the 215 is Winner</t>
  </si>
  <si>
    <t>After Tax Cash Flow</t>
  </si>
  <si>
    <t>Salvage Depreciation (Method 2)</t>
  </si>
  <si>
    <t>Salvage Depreciation ( Method 2)</t>
  </si>
  <si>
    <t>AEC(After tax)</t>
  </si>
  <si>
    <t xml:space="preserve">Sensitivity Analysis </t>
  </si>
  <si>
    <t>Annual Hours</t>
  </si>
  <si>
    <t>Gas Price</t>
  </si>
  <si>
    <t>Unscheduled Repears</t>
  </si>
  <si>
    <t>Range</t>
  </si>
  <si>
    <t>Category Variation</t>
  </si>
  <si>
    <t>CR (Salvage Method 1)</t>
  </si>
  <si>
    <t>AEC (Costant Dollars) /(Salvage Method 2)</t>
  </si>
  <si>
    <t>CR (Salvage Method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</si>
</sst>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70" formatCode="&quot;$&quot;#,##0.00"/>
    <numFmt numFmtId="177" formatCode="0.0%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3">
    <xf numFmtId="0" fontId="0" fillId="0" borderId="0" xfId="0"/>
    <xf numFmtId="0" fontId="0" fillId="0" borderId="9" xfId="0" applyBorder="1"/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/>
    <xf numFmtId="0" fontId="0" fillId="2" borderId="22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0" xfId="0" applyBorder="1" applyAlignment="1"/>
    <xf numFmtId="0" fontId="0" fillId="3" borderId="9" xfId="0" applyFill="1" applyBorder="1" applyAlignment="1">
      <alignment horizontal="center"/>
    </xf>
    <xf numFmtId="9" fontId="0" fillId="3" borderId="9" xfId="0" applyNumberFormat="1" applyFill="1" applyBorder="1" applyAlignment="1">
      <alignment horizontal="center"/>
    </xf>
    <xf numFmtId="0" fontId="0" fillId="0" borderId="10" xfId="0" applyBorder="1"/>
    <xf numFmtId="9" fontId="0" fillId="3" borderId="9" xfId="0" applyNumberForma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9" fontId="0" fillId="3" borderId="9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170" fontId="0" fillId="3" borderId="9" xfId="0" applyNumberFormat="1" applyFill="1" applyBorder="1" applyAlignment="1">
      <alignment horizontal="center"/>
    </xf>
    <xf numFmtId="0" fontId="0" fillId="0" borderId="15" xfId="0" applyBorder="1"/>
    <xf numFmtId="9" fontId="0" fillId="3" borderId="15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9" fontId="0" fillId="0" borderId="9" xfId="1" applyFont="1" applyBorder="1" applyAlignment="1">
      <alignment horizontal="center"/>
    </xf>
    <xf numFmtId="170" fontId="0" fillId="3" borderId="9" xfId="0" applyNumberFormat="1" applyFill="1" applyBorder="1" applyAlignment="1">
      <alignment horizontal="center"/>
    </xf>
    <xf numFmtId="0" fontId="0" fillId="0" borderId="9" xfId="0" applyFill="1" applyBorder="1"/>
    <xf numFmtId="170" fontId="0" fillId="0" borderId="9" xfId="0" applyNumberFormat="1" applyBorder="1" applyAlignment="1">
      <alignment horizontal="center"/>
    </xf>
    <xf numFmtId="0" fontId="0" fillId="0" borderId="29" xfId="0" applyFill="1" applyBorder="1"/>
    <xf numFmtId="0" fontId="0" fillId="0" borderId="0" xfId="0" applyBorder="1"/>
    <xf numFmtId="0" fontId="0" fillId="0" borderId="11" xfId="0" applyBorder="1"/>
    <xf numFmtId="0" fontId="0" fillId="0" borderId="14" xfId="0" applyBorder="1"/>
    <xf numFmtId="0" fontId="0" fillId="0" borderId="25" xfId="0" applyBorder="1" applyAlignment="1">
      <alignment horizontal="center"/>
    </xf>
    <xf numFmtId="170" fontId="0" fillId="0" borderId="25" xfId="0" applyNumberFormat="1" applyBorder="1" applyAlignment="1">
      <alignment horizontal="center"/>
    </xf>
    <xf numFmtId="0" fontId="0" fillId="0" borderId="0" xfId="0" applyFill="1" applyBorder="1"/>
    <xf numFmtId="170" fontId="0" fillId="3" borderId="23" xfId="0" applyNumberFormat="1" applyFill="1" applyBorder="1" applyAlignment="1">
      <alignment horizontal="center"/>
    </xf>
    <xf numFmtId="170" fontId="0" fillId="3" borderId="9" xfId="0" applyNumberFormat="1" applyFill="1" applyBorder="1" applyAlignment="1">
      <alignment horizontal="center" vertical="center"/>
    </xf>
    <xf numFmtId="170" fontId="0" fillId="3" borderId="24" xfId="0" applyNumberFormat="1" applyFill="1" applyBorder="1" applyAlignment="1">
      <alignment horizontal="center"/>
    </xf>
    <xf numFmtId="0" fontId="0" fillId="0" borderId="26" xfId="0" applyFill="1" applyBorder="1"/>
    <xf numFmtId="2" fontId="0" fillId="0" borderId="9" xfId="0" applyNumberFormat="1" applyBorder="1" applyAlignment="1">
      <alignment horizontal="center"/>
    </xf>
    <xf numFmtId="170" fontId="0" fillId="0" borderId="0" xfId="0" applyNumberFormat="1" applyFill="1" applyBorder="1" applyAlignment="1">
      <alignment horizontal="center"/>
    </xf>
    <xf numFmtId="170" fontId="0" fillId="0" borderId="0" xfId="0" applyNumberFormat="1" applyFill="1" applyBorder="1" applyAlignment="1"/>
    <xf numFmtId="0" fontId="0" fillId="0" borderId="32" xfId="0" applyBorder="1"/>
    <xf numFmtId="177" fontId="0" fillId="3" borderId="9" xfId="1" applyNumberFormat="1" applyFont="1" applyFill="1" applyBorder="1" applyAlignment="1">
      <alignment horizontal="center"/>
    </xf>
    <xf numFmtId="0" fontId="0" fillId="0" borderId="0" xfId="0" applyFill="1" applyBorder="1" applyAlignment="1"/>
    <xf numFmtId="170" fontId="0" fillId="0" borderId="9" xfId="0" applyNumberFormat="1" applyBorder="1" applyAlignment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9" xfId="0" applyBorder="1"/>
    <xf numFmtId="8" fontId="0" fillId="0" borderId="9" xfId="0" applyNumberFormat="1" applyBorder="1"/>
    <xf numFmtId="10" fontId="0" fillId="0" borderId="9" xfId="0" applyNumberFormat="1" applyBorder="1"/>
    <xf numFmtId="170" fontId="0" fillId="0" borderId="9" xfId="0" applyNumberFormat="1" applyBorder="1" applyAlignment="1">
      <alignment horizontal="right"/>
    </xf>
    <xf numFmtId="0" fontId="0" fillId="2" borderId="15" xfId="0" applyFill="1" applyBorder="1" applyAlignment="1">
      <alignment horizontal="center" wrapText="1"/>
    </xf>
    <xf numFmtId="8" fontId="0" fillId="0" borderId="9" xfId="0" applyNumberFormat="1" applyBorder="1" applyAlignment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wrapText="1"/>
    </xf>
    <xf numFmtId="170" fontId="0" fillId="0" borderId="32" xfId="0" applyNumberFormat="1" applyBorder="1" applyAlignment="1"/>
    <xf numFmtId="8" fontId="0" fillId="0" borderId="32" xfId="0" applyNumberFormat="1" applyBorder="1" applyAlignment="1"/>
    <xf numFmtId="170" fontId="0" fillId="0" borderId="0" xfId="0" applyNumberFormat="1" applyBorder="1" applyAlignment="1"/>
    <xf numFmtId="8" fontId="0" fillId="0" borderId="0" xfId="0" applyNumberFormat="1" applyBorder="1" applyAlignment="1"/>
    <xf numFmtId="8" fontId="0" fillId="0" borderId="0" xfId="0" applyNumberFormat="1" applyFill="1" applyBorder="1" applyAlignment="1">
      <alignment horizontal="center"/>
    </xf>
    <xf numFmtId="8" fontId="0" fillId="0" borderId="0" xfId="0" applyNumberFormat="1" applyFill="1" applyBorder="1" applyAlignment="1"/>
    <xf numFmtId="0" fontId="0" fillId="0" borderId="29" xfId="0" applyBorder="1"/>
    <xf numFmtId="8" fontId="0" fillId="0" borderId="0" xfId="0" applyNumberFormat="1" applyBorder="1"/>
    <xf numFmtId="8" fontId="0" fillId="0" borderId="9" xfId="0" applyNumberFormat="1" applyBorder="1" applyAlignment="1">
      <alignment horizontal="center"/>
    </xf>
    <xf numFmtId="10" fontId="0" fillId="3" borderId="9" xfId="0" applyNumberFormat="1" applyFill="1" applyBorder="1" applyAlignment="1">
      <alignment horizontal="center"/>
    </xf>
    <xf numFmtId="8" fontId="0" fillId="0" borderId="0" xfId="0" applyNumberFormat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5" borderId="0" xfId="0" applyFill="1"/>
    <xf numFmtId="0" fontId="1" fillId="6" borderId="16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170" fontId="0" fillId="0" borderId="0" xfId="0" applyNumberFormat="1"/>
    <xf numFmtId="40" fontId="0" fillId="0" borderId="9" xfId="0" applyNumberFormat="1" applyBorder="1"/>
    <xf numFmtId="4" fontId="0" fillId="0" borderId="9" xfId="0" applyNumberFormat="1" applyBorder="1"/>
    <xf numFmtId="8" fontId="0" fillId="0" borderId="9" xfId="0" applyNumberFormat="1" applyFill="1" applyBorder="1"/>
    <xf numFmtId="170" fontId="0" fillId="3" borderId="25" xfId="0" applyNumberFormat="1" applyFill="1" applyBorder="1" applyAlignment="1">
      <alignment horizontal="center"/>
    </xf>
    <xf numFmtId="0" fontId="0" fillId="3" borderId="25" xfId="0" applyNumberFormat="1" applyFill="1" applyBorder="1" applyAlignment="1">
      <alignment horizontal="center"/>
    </xf>
    <xf numFmtId="0" fontId="0" fillId="3" borderId="24" xfId="0" applyNumberFormat="1" applyFill="1" applyBorder="1" applyAlignment="1">
      <alignment horizontal="center"/>
    </xf>
    <xf numFmtId="10" fontId="0" fillId="3" borderId="25" xfId="0" applyNumberFormat="1" applyFill="1" applyBorder="1" applyAlignment="1">
      <alignment horizontal="center"/>
    </xf>
    <xf numFmtId="10" fontId="0" fillId="3" borderId="24" xfId="0" applyNumberForma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170" fontId="0" fillId="4" borderId="9" xfId="0" applyNumberFormat="1" applyFill="1" applyBorder="1" applyAlignment="1"/>
    <xf numFmtId="170" fontId="0" fillId="0" borderId="9" xfId="0" applyNumberFormat="1" applyFill="1" applyBorder="1" applyAlignment="1"/>
    <xf numFmtId="8" fontId="0" fillId="4" borderId="9" xfId="0" applyNumberFormat="1" applyFill="1" applyBorder="1" applyAlignment="1"/>
    <xf numFmtId="0" fontId="0" fillId="4" borderId="0" xfId="0" applyFill="1" applyAlignment="1">
      <alignment horizontal="center"/>
    </xf>
    <xf numFmtId="0" fontId="0" fillId="2" borderId="33" xfId="0" applyFill="1" applyBorder="1" applyAlignment="1">
      <alignment horizontal="center" wrapText="1"/>
    </xf>
    <xf numFmtId="0" fontId="0" fillId="2" borderId="34" xfId="0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5" borderId="9" xfId="0" applyFill="1" applyBorder="1"/>
    <xf numFmtId="8" fontId="0" fillId="0" borderId="32" xfId="0" applyNumberFormat="1" applyBorder="1"/>
    <xf numFmtId="8" fontId="0" fillId="0" borderId="25" xfId="0" applyNumberFormat="1" applyBorder="1"/>
    <xf numFmtId="0" fontId="0" fillId="2" borderId="2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9" xfId="0" applyFill="1" applyBorder="1" applyAlignment="1"/>
    <xf numFmtId="10" fontId="0" fillId="7" borderId="9" xfId="0" applyNumberFormat="1" applyFill="1" applyBorder="1" applyAlignment="1"/>
    <xf numFmtId="0" fontId="1" fillId="0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40" fontId="0" fillId="0" borderId="15" xfId="0" applyNumberFormat="1" applyBorder="1"/>
    <xf numFmtId="0" fontId="1" fillId="0" borderId="20" xfId="0" applyFont="1" applyBorder="1"/>
    <xf numFmtId="10" fontId="0" fillId="0" borderId="7" xfId="0" applyNumberFormat="1" applyBorder="1"/>
    <xf numFmtId="0" fontId="0" fillId="0" borderId="40" xfId="0" applyBorder="1"/>
    <xf numFmtId="170" fontId="0" fillId="0" borderId="10" xfId="0" applyNumberFormat="1" applyBorder="1"/>
    <xf numFmtId="0" fontId="1" fillId="0" borderId="7" xfId="0" applyFont="1" applyBorder="1" applyAlignment="1">
      <alignment horizontal="center"/>
    </xf>
    <xf numFmtId="10" fontId="0" fillId="0" borderId="0" xfId="0" applyNumberFormat="1" applyBorder="1"/>
    <xf numFmtId="0" fontId="0" fillId="0" borderId="9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Sheet1!$A$133</c:f>
              <c:strCache>
                <c:ptCount val="1"/>
                <c:pt idx="0">
                  <c:v>Annual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Sheet1!$B$131:$H$132</c:f>
              <c:multiLvlStrCache>
                <c:ptCount val="7"/>
                <c:lvl>
                  <c:pt idx="0">
                    <c:v>-30.00%</c:v>
                  </c:pt>
                  <c:pt idx="1">
                    <c:v>-20.00%</c:v>
                  </c:pt>
                  <c:pt idx="2">
                    <c:v>-10.00%</c:v>
                  </c:pt>
                  <c:pt idx="3">
                    <c:v>0.00%</c:v>
                  </c:pt>
                  <c:pt idx="4">
                    <c:v>10.00%</c:v>
                  </c:pt>
                  <c:pt idx="5">
                    <c:v>20.00%</c:v>
                  </c:pt>
                  <c:pt idx="6">
                    <c:v>30.00%</c:v>
                  </c:pt>
                </c:lvl>
                <c:lvl>
                  <c:pt idx="0">
                    <c:v>Category Variation</c:v>
                  </c:pt>
                </c:lvl>
              </c:multiLvlStrCache>
            </c:multiLvlStrRef>
          </c:cat>
          <c:val>
            <c:numRef>
              <c:f>Sheet1!$B$133:$H$133</c:f>
              <c:numCache>
                <c:formatCode>"$"#,##0.00_);[Red]\("$"#,##0.00\)</c:formatCode>
                <c:ptCount val="7"/>
                <c:pt idx="0">
                  <c:v>-36266.058063923585</c:v>
                </c:pt>
                <c:pt idx="1">
                  <c:v>-39014.788587825293</c:v>
                </c:pt>
                <c:pt idx="2">
                  <c:v>-41763.519111726993</c:v>
                </c:pt>
                <c:pt idx="3">
                  <c:v>-44512.249635628694</c:v>
                </c:pt>
                <c:pt idx="4">
                  <c:v>-47260.980159530394</c:v>
                </c:pt>
                <c:pt idx="5">
                  <c:v>-50009.710683432095</c:v>
                </c:pt>
                <c:pt idx="6">
                  <c:v>-52758.441207333788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0-7540-8626-06B1E376F30D}"/>
            </c:ext>
          </c:extLst>
        </c:ser>
        <c:ser>
          <c:idx val="1"/>
          <c:order val="1"/>
          <c:tx>
            <c:strRef>
              <c:f>Sheet1!$A$134</c:f>
              <c:strCache>
                <c:ptCount val="1"/>
                <c:pt idx="0">
                  <c:v>Gas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Sheet1!$B$131:$H$132</c:f>
              <c:multiLvlStrCache>
                <c:ptCount val="7"/>
                <c:lvl>
                  <c:pt idx="0">
                    <c:v>-30.00%</c:v>
                  </c:pt>
                  <c:pt idx="1">
                    <c:v>-20.00%</c:v>
                  </c:pt>
                  <c:pt idx="2">
                    <c:v>-10.00%</c:v>
                  </c:pt>
                  <c:pt idx="3">
                    <c:v>0.00%</c:v>
                  </c:pt>
                  <c:pt idx="4">
                    <c:v>10.00%</c:v>
                  </c:pt>
                  <c:pt idx="5">
                    <c:v>20.00%</c:v>
                  </c:pt>
                  <c:pt idx="6">
                    <c:v>30.00%</c:v>
                  </c:pt>
                </c:lvl>
                <c:lvl>
                  <c:pt idx="0">
                    <c:v>Category Variation</c:v>
                  </c:pt>
                </c:lvl>
              </c:multiLvlStrCache>
            </c:multiLvlStrRef>
          </c:cat>
          <c:val>
            <c:numRef>
              <c:f>Sheet1!$B$134:$H$134</c:f>
              <c:numCache>
                <c:formatCode>"$"#,##0.00_);[Red]\("$"#,##0.00\)</c:formatCode>
                <c:ptCount val="7"/>
                <c:pt idx="0">
                  <c:v>-37330.234865249651</c:v>
                </c:pt>
                <c:pt idx="1">
                  <c:v>-39724.239788709325</c:v>
                </c:pt>
                <c:pt idx="2">
                  <c:v>-42118.244712169006</c:v>
                </c:pt>
                <c:pt idx="3">
                  <c:v>-44512.249635628694</c:v>
                </c:pt>
                <c:pt idx="4">
                  <c:v>-46906.254559088367</c:v>
                </c:pt>
                <c:pt idx="5">
                  <c:v>-49300.259482548048</c:v>
                </c:pt>
                <c:pt idx="6">
                  <c:v>-51694.264406007729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0-7540-8626-06B1E376F30D}"/>
            </c:ext>
          </c:extLst>
        </c:ser>
        <c:ser>
          <c:idx val="2"/>
          <c:order val="2"/>
          <c:tx>
            <c:strRef>
              <c:f>Sheet1!$A$135</c:f>
              <c:strCache>
                <c:ptCount val="1"/>
                <c:pt idx="0">
                  <c:v>Unscheduled Repears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Sheet1!$B$131:$H$132</c:f>
              <c:multiLvlStrCache>
                <c:ptCount val="7"/>
                <c:lvl>
                  <c:pt idx="0">
                    <c:v>-30.00%</c:v>
                  </c:pt>
                  <c:pt idx="1">
                    <c:v>-20.00%</c:v>
                  </c:pt>
                  <c:pt idx="2">
                    <c:v>-10.00%</c:v>
                  </c:pt>
                  <c:pt idx="3">
                    <c:v>0.00%</c:v>
                  </c:pt>
                  <c:pt idx="4">
                    <c:v>10.00%</c:v>
                  </c:pt>
                  <c:pt idx="5">
                    <c:v>20.00%</c:v>
                  </c:pt>
                  <c:pt idx="6">
                    <c:v>30.00%</c:v>
                  </c:pt>
                </c:lvl>
                <c:lvl>
                  <c:pt idx="0">
                    <c:v>Category Variation</c:v>
                  </c:pt>
                </c:lvl>
              </c:multiLvlStrCache>
            </c:multiLvlStrRef>
          </c:cat>
          <c:val>
            <c:numRef>
              <c:f>Sheet1!$B$135:$H$135</c:f>
              <c:numCache>
                <c:formatCode>"$"#,##0.00_);[Red]\("$"#,##0.00\)</c:formatCode>
                <c:ptCount val="7"/>
                <c:pt idx="0">
                  <c:v>-43794.942210565387</c:v>
                </c:pt>
                <c:pt idx="1">
                  <c:v>-44034.044685586487</c:v>
                </c:pt>
                <c:pt idx="2">
                  <c:v>-44273.147160607587</c:v>
                </c:pt>
                <c:pt idx="3">
                  <c:v>-44512.249635628694</c:v>
                </c:pt>
                <c:pt idx="4">
                  <c:v>-44751.352110649801</c:v>
                </c:pt>
                <c:pt idx="5">
                  <c:v>-44990.454585670894</c:v>
                </c:pt>
                <c:pt idx="6">
                  <c:v>-45229.557060691986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00-7540-8626-06B1E376F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465168"/>
        <c:axId val="1300466880"/>
      </c:lineChart>
      <c:catAx>
        <c:axId val="130046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66880"/>
        <c:crosses val="autoZero"/>
        <c:auto val="1"/>
        <c:lblAlgn val="ctr"/>
        <c:lblOffset val="100"/>
        <c:noMultiLvlLbl val="0"/>
      </c:catAx>
      <c:valAx>
        <c:axId val="13004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6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155222</xdr:colOff>
      <xdr:row>137</xdr:row>
      <xdr:rowOff>70556</xdr:rowOff>
    </xdr:from>
    <xdr:to>
      <xdr:col>11</xdr:col>
      <xdr:colOff>14111</xdr:colOff>
      <xdr:row>179</xdr:row>
      <xdr:rowOff>14111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987386-5BED-4044-E543-B99A4E1AA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74F7-92B1-CD47-B2C8-EFAB5D20F42E}">
  <dimension ref="A1:R138"/>
  <sheetViews>
    <sheetView tabSelected="1" topLeftCell="C1" zoomScale="107" workbookViewId="0">
      <selection activeCell="L34" sqref="L34"/>
    </sheetView>
  </sheetViews>
  <sheetFormatPr baseColWidth="10" defaultRowHeight="16" x14ac:dyDescent="0.2"/>
  <cols>
    <col min="1" max="1" width="25" customWidth="1"/>
    <col min="2" max="2" width="20.6640625" customWidth="1"/>
    <col min="3" max="3" width="19.83203125" customWidth="1"/>
    <col min="4" max="5" width="19" customWidth="1"/>
    <col min="6" max="6" width="18.83203125" customWidth="1"/>
    <col min="7" max="7" width="22.83203125" customWidth="1"/>
    <col min="8" max="8" width="20" customWidth="1"/>
    <col min="9" max="9" width="15" customWidth="1"/>
    <col min="10" max="10" width="15.1640625" customWidth="1"/>
    <col min="11" max="11" width="17.6640625" customWidth="1"/>
    <col min="12" max="12" width="13.1640625" customWidth="1"/>
    <col min="13" max="13" width="18" customWidth="1"/>
    <col min="14" max="14" width="16.83203125" customWidth="1"/>
    <col min="15" max="15" width="16.5" customWidth="1"/>
    <col min="16" max="17" width="18.6640625" customWidth="1"/>
    <col min="18" max="18" width="17.1640625" customWidth="1"/>
    <col min="19" max="19" width="21.5" customWidth="1"/>
    <col min="20" max="20" width="18.33203125" customWidth="1"/>
  </cols>
  <sheetData>
    <row r="1" spans="1:11" x14ac:dyDescent="0.2">
      <c r="A1" s="4" t="s">
        <v>0</v>
      </c>
      <c r="B1" s="5"/>
      <c r="C1" s="5"/>
      <c r="D1" s="6"/>
    </row>
    <row r="2" spans="1:11" x14ac:dyDescent="0.2">
      <c r="A2" s="7"/>
      <c r="B2" s="2"/>
      <c r="C2" s="2"/>
      <c r="D2" s="8"/>
    </row>
    <row r="3" spans="1:11" ht="17" thickBot="1" x14ac:dyDescent="0.25">
      <c r="A3" s="9"/>
      <c r="B3" s="10"/>
      <c r="C3" s="10"/>
      <c r="D3" s="11"/>
    </row>
    <row r="4" spans="1:11" x14ac:dyDescent="0.2">
      <c r="A4" s="12" t="s">
        <v>2</v>
      </c>
      <c r="B4" s="2"/>
      <c r="C4" s="2"/>
      <c r="D4" s="13"/>
    </row>
    <row r="5" spans="1:11" ht="16" customHeight="1" x14ac:dyDescent="0.2">
      <c r="A5" s="14"/>
      <c r="B5" s="2"/>
      <c r="C5" s="2"/>
      <c r="D5" s="13"/>
    </row>
    <row r="6" spans="1:11" x14ac:dyDescent="0.2">
      <c r="A6" s="14"/>
      <c r="B6" s="2"/>
      <c r="C6" s="2"/>
      <c r="D6" s="13"/>
    </row>
    <row r="7" spans="1:11" ht="16" customHeight="1" x14ac:dyDescent="0.2">
      <c r="A7" s="14"/>
      <c r="B7" s="2"/>
      <c r="C7" s="2"/>
      <c r="D7" s="13"/>
    </row>
    <row r="8" spans="1:11" x14ac:dyDescent="0.2">
      <c r="A8" s="15"/>
      <c r="B8" s="16"/>
      <c r="C8" s="16"/>
      <c r="D8" s="17"/>
    </row>
    <row r="9" spans="1:11" ht="17" thickBot="1" x14ac:dyDescent="0.25">
      <c r="A9" s="12" t="s">
        <v>1</v>
      </c>
      <c r="B9" s="2"/>
      <c r="C9" s="2"/>
      <c r="D9" s="13"/>
    </row>
    <row r="10" spans="1:11" ht="17" thickBot="1" x14ac:dyDescent="0.25">
      <c r="A10" s="14"/>
      <c r="B10" s="2"/>
      <c r="C10" s="2"/>
      <c r="D10" s="13"/>
      <c r="G10" s="102" t="s">
        <v>42</v>
      </c>
      <c r="H10" s="103"/>
      <c r="I10" s="103"/>
      <c r="J10" s="103"/>
      <c r="K10" s="104"/>
    </row>
    <row r="11" spans="1:11" x14ac:dyDescent="0.2">
      <c r="A11" s="14"/>
      <c r="B11" s="2"/>
      <c r="C11" s="2"/>
      <c r="D11" s="13"/>
      <c r="G11" s="42"/>
      <c r="H11" s="76" t="s">
        <v>3</v>
      </c>
      <c r="I11" s="76"/>
      <c r="J11" s="84" t="s">
        <v>52</v>
      </c>
      <c r="K11" s="84"/>
    </row>
    <row r="12" spans="1:11" x14ac:dyDescent="0.2">
      <c r="A12" s="15"/>
      <c r="B12" s="16"/>
      <c r="C12" s="16"/>
      <c r="D12" s="17"/>
      <c r="G12" s="1" t="s">
        <v>7</v>
      </c>
      <c r="H12" s="83">
        <f>B52*$B$18*$B$23</f>
        <v>20024.927999999996</v>
      </c>
      <c r="I12" s="83"/>
      <c r="J12" s="83">
        <f>D52*$B$18*$B$23</f>
        <v>17650.936799999999</v>
      </c>
      <c r="K12" s="83"/>
    </row>
    <row r="13" spans="1:11" x14ac:dyDescent="0.2">
      <c r="G13" s="1" t="s">
        <v>43</v>
      </c>
      <c r="H13" s="83">
        <f>B45</f>
        <v>2057.1428571428573</v>
      </c>
      <c r="I13" s="83"/>
      <c r="J13" s="83">
        <f>D45</f>
        <v>1680</v>
      </c>
      <c r="K13" s="83"/>
    </row>
    <row r="14" spans="1:11" ht="17" thickBot="1" x14ac:dyDescent="0.25">
      <c r="G14" s="1" t="s">
        <v>45</v>
      </c>
      <c r="H14" s="83">
        <f>B67</f>
        <v>1410</v>
      </c>
      <c r="I14" s="83"/>
      <c r="J14" s="83">
        <f>D67</f>
        <v>1112</v>
      </c>
      <c r="K14" s="83"/>
    </row>
    <row r="15" spans="1:11" ht="17" thickBot="1" x14ac:dyDescent="0.25">
      <c r="A15" s="44" t="s">
        <v>27</v>
      </c>
      <c r="B15" s="45"/>
      <c r="G15" s="1" t="s">
        <v>44</v>
      </c>
      <c r="H15" s="83">
        <f>B72</f>
        <v>2000</v>
      </c>
      <c r="I15" s="83"/>
      <c r="J15" s="83">
        <f>D72</f>
        <v>500</v>
      </c>
      <c r="K15" s="83"/>
    </row>
    <row r="16" spans="1:11" ht="17" thickTop="1" x14ac:dyDescent="0.2">
      <c r="A16" s="42" t="s">
        <v>10</v>
      </c>
      <c r="B16" s="43">
        <v>0.15</v>
      </c>
      <c r="G16" s="1" t="s">
        <v>46</v>
      </c>
      <c r="H16" s="83">
        <f>B30*$B$25</f>
        <v>281.60000000000002</v>
      </c>
      <c r="I16" s="83"/>
      <c r="J16" s="83">
        <f>D30*$B$25</f>
        <v>992.5</v>
      </c>
      <c r="K16" s="83"/>
    </row>
    <row r="17" spans="1:17" x14ac:dyDescent="0.2">
      <c r="A17" s="1" t="s">
        <v>4</v>
      </c>
      <c r="B17" s="36">
        <v>0.4</v>
      </c>
      <c r="G17" s="1"/>
      <c r="H17" s="52"/>
      <c r="I17" s="52"/>
      <c r="J17" s="57"/>
      <c r="K17" s="29"/>
    </row>
    <row r="18" spans="1:17" x14ac:dyDescent="0.2">
      <c r="A18" s="37" t="s">
        <v>5</v>
      </c>
      <c r="B18" s="38">
        <f>600*(1+B112)</f>
        <v>600</v>
      </c>
      <c r="G18" s="1" t="s">
        <v>56</v>
      </c>
      <c r="H18" s="52">
        <f>SUM(H12:I15)</f>
        <v>25492.070857142855</v>
      </c>
      <c r="I18" s="52"/>
      <c r="J18" s="52">
        <f>SUM(J12:K15)</f>
        <v>20942.936799999999</v>
      </c>
      <c r="K18" s="52"/>
    </row>
    <row r="19" spans="1:17" x14ac:dyDescent="0.2">
      <c r="A19" s="37"/>
      <c r="B19" s="38"/>
    </row>
    <row r="20" spans="1:17" ht="17" thickBot="1" x14ac:dyDescent="0.25">
      <c r="A20" s="37" t="s">
        <v>30</v>
      </c>
      <c r="B20" s="39">
        <v>0.7</v>
      </c>
      <c r="C20" s="25"/>
    </row>
    <row r="21" spans="1:17" ht="17" thickBot="1" x14ac:dyDescent="0.25">
      <c r="A21" s="37"/>
      <c r="B21" s="38"/>
      <c r="C21" s="25"/>
      <c r="G21" s="99" t="s">
        <v>89</v>
      </c>
      <c r="H21" s="100"/>
      <c r="I21" s="100"/>
      <c r="J21" s="100"/>
      <c r="K21" s="101"/>
      <c r="M21" s="99" t="s">
        <v>91</v>
      </c>
      <c r="N21" s="100"/>
      <c r="O21" s="100"/>
      <c r="P21" s="100"/>
      <c r="Q21" s="101"/>
    </row>
    <row r="22" spans="1:17" x14ac:dyDescent="0.2">
      <c r="A22" s="1" t="s">
        <v>14</v>
      </c>
      <c r="B22" s="40">
        <v>3500</v>
      </c>
      <c r="C22" s="32"/>
      <c r="G22" s="42"/>
      <c r="H22" s="76" t="s">
        <v>3</v>
      </c>
      <c r="I22" s="76"/>
      <c r="J22" s="84" t="s">
        <v>52</v>
      </c>
      <c r="K22" s="84"/>
      <c r="M22" s="42"/>
      <c r="N22" s="76" t="s">
        <v>3</v>
      </c>
      <c r="O22" s="76"/>
      <c r="P22" s="84" t="s">
        <v>52</v>
      </c>
      <c r="Q22" s="84"/>
    </row>
    <row r="23" spans="1:17" ht="16" customHeight="1" x14ac:dyDescent="0.2">
      <c r="A23" s="1" t="s">
        <v>6</v>
      </c>
      <c r="B23" s="41">
        <f>3.528*(1+B113)</f>
        <v>3.528</v>
      </c>
      <c r="G23" s="1" t="s">
        <v>49</v>
      </c>
      <c r="H23" s="1" t="s">
        <v>54</v>
      </c>
      <c r="I23" s="1" t="s">
        <v>55</v>
      </c>
      <c r="J23" s="1" t="s">
        <v>54</v>
      </c>
      <c r="K23" s="1" t="s">
        <v>55</v>
      </c>
      <c r="M23" s="1" t="s">
        <v>49</v>
      </c>
      <c r="N23" s="1" t="s">
        <v>54</v>
      </c>
      <c r="O23" s="1" t="s">
        <v>55</v>
      </c>
      <c r="P23" s="1" t="s">
        <v>54</v>
      </c>
      <c r="Q23" s="1" t="s">
        <v>55</v>
      </c>
    </row>
    <row r="24" spans="1:17" x14ac:dyDescent="0.2">
      <c r="A24" s="1" t="s">
        <v>9</v>
      </c>
      <c r="B24" s="40">
        <v>4.2999999999999997E-2</v>
      </c>
      <c r="G24" s="1">
        <v>1</v>
      </c>
      <c r="H24" s="70">
        <f>B30*(1-B77)</f>
        <v>51645.440000000002</v>
      </c>
      <c r="I24" s="85">
        <f>PMT($B$16,G24,$B$30,-H24)</f>
        <v>-13122.56</v>
      </c>
      <c r="J24" s="70">
        <f>D30*(1-D77)</f>
        <v>148875</v>
      </c>
      <c r="K24" s="85">
        <f>PMT($B$16,G24,$D$30,-J24)</f>
        <v>-79400.000000000015</v>
      </c>
      <c r="M24" s="1">
        <v>1</v>
      </c>
      <c r="N24" s="70">
        <f>MAX($B$83+($B$30-$B$83)*(1-M24*(($B$18/$B$86)+$B$85)),$B$83)</f>
        <v>50558.400000000001</v>
      </c>
      <c r="O24" s="85">
        <f>PMT($B$16,M24,$B$30,-N24)</f>
        <v>-14209.599999999999</v>
      </c>
      <c r="P24" s="70">
        <f>MAX($D$84,$D$84+($D$30-$D$84)*(1-M24*(($B$18/$D$86)+$D$85)))</f>
        <v>184235</v>
      </c>
      <c r="Q24" s="85">
        <f>PMT($B$16,M24,$D$30,-P24)</f>
        <v>-44040</v>
      </c>
    </row>
    <row r="25" spans="1:17" x14ac:dyDescent="0.2">
      <c r="A25" s="51" t="s">
        <v>41</v>
      </c>
      <c r="B25" s="68">
        <v>5.0000000000000001E-3</v>
      </c>
      <c r="G25" s="1">
        <f>G24+1</f>
        <v>2</v>
      </c>
      <c r="H25" s="70">
        <f>H24*(1-$B$78)</f>
        <v>47358.868480000005</v>
      </c>
      <c r="I25" s="85">
        <f>PMT($B$16,G25,$B$30,-H25)</f>
        <v>-12615.968148837206</v>
      </c>
      <c r="J25" s="70">
        <f>J24*(1-$D$78)</f>
        <v>136518.375</v>
      </c>
      <c r="K25" s="85">
        <f>PMT($B$16,G25,$D$30,-J25)</f>
        <v>-58603.662790697679</v>
      </c>
      <c r="M25" s="1">
        <f>M24+1</f>
        <v>2</v>
      </c>
      <c r="N25" s="70">
        <f>MAX($B$83+($B$30-$B$83)*(1-M25*(($B$18/$B$86)+$B$85)),$B$83)</f>
        <v>44796.800000000003</v>
      </c>
      <c r="O25" s="85">
        <f>PMT($B$16,M25,$B$30,-N25)</f>
        <v>-13807.627906976742</v>
      </c>
      <c r="P25" s="70">
        <f>MAX($D$84,$D$84+($D$30-$D$84)*(1-M25*(($B$18/$D$86)+$D$85)))</f>
        <v>169970</v>
      </c>
      <c r="Q25" s="85">
        <f>PMT($B$16,M25,$D$30,-P25)</f>
        <v>-43044.767441860466</v>
      </c>
    </row>
    <row r="26" spans="1:17" x14ac:dyDescent="0.2">
      <c r="G26" s="1">
        <f>G25+1</f>
        <v>3</v>
      </c>
      <c r="H26" s="70">
        <f t="shared" ref="H26:H33" si="0">H25*(1-$B$78)</f>
        <v>43428.082396160004</v>
      </c>
      <c r="I26" s="85">
        <f>PMT($B$16,G26,$B$30,-H26)</f>
        <v>-12160.57526388481</v>
      </c>
      <c r="J26" s="70">
        <f t="shared" ref="J26:J43" si="1">J25*(1-$D$78)</f>
        <v>125187.349875</v>
      </c>
      <c r="K26" s="85">
        <f>PMT($B$16,G26,$D$30,-J26)</f>
        <v>-50887.354247660194</v>
      </c>
      <c r="M26" s="1">
        <f>M25+1</f>
        <v>3</v>
      </c>
      <c r="N26" s="70">
        <f>MAX($B$83+($B$30-$B$83)*(1-M26*(($B$18/$B$86)+$B$85)),$B$83)</f>
        <v>39035.199999999997</v>
      </c>
      <c r="O26" s="85">
        <f>PMT($B$16,M26,$B$30,-N26)</f>
        <v>-13425.624190064796</v>
      </c>
      <c r="P26" s="70">
        <f>MAX($D$84,$D$84+($D$30-$D$84)*(1-M26*(($B$18/$D$86)+$D$85)))</f>
        <v>155705</v>
      </c>
      <c r="Q26" s="85">
        <f>PMT($B$16,M26,$D$30,-P26)</f>
        <v>-42098.974082073437</v>
      </c>
    </row>
    <row r="27" spans="1:17" ht="17" thickBot="1" x14ac:dyDescent="0.25">
      <c r="G27" s="1">
        <f>G26+1</f>
        <v>4</v>
      </c>
      <c r="H27" s="70">
        <f t="shared" si="0"/>
        <v>39823.551557278726</v>
      </c>
      <c r="I27" s="85">
        <f>PMT($B$16,G27,$B$30,-H27)</f>
        <v>-11751.667047382036</v>
      </c>
      <c r="J27" s="70">
        <f t="shared" si="1"/>
        <v>114796.799835375</v>
      </c>
      <c r="K27" s="85">
        <f>PMT($B$16,G27,$D$30,-J27)</f>
        <v>-46537.850810248572</v>
      </c>
      <c r="M27" s="1">
        <f>M26+1</f>
        <v>4</v>
      </c>
      <c r="N27" s="70">
        <f>MAX($B$83+($B$30-$B$83)*(1-M27*(($B$18/$B$86)+$B$85)),$B$83)</f>
        <v>33273.599999999999</v>
      </c>
      <c r="O27" s="85">
        <f>PMT($B$16,M27,$B$30,-N27)</f>
        <v>-13063.395398903549</v>
      </c>
      <c r="P27" s="70">
        <f>MAX($D$84,$D$84+($D$30-$D$84)*(1-M27*(($B$18/$D$86)+$D$85)))</f>
        <v>141440</v>
      </c>
      <c r="Q27" s="85">
        <f>PMT($B$16,M27,$D$30,-P27)</f>
        <v>-41202.140961774356</v>
      </c>
    </row>
    <row r="28" spans="1:17" ht="17" thickBot="1" x14ac:dyDescent="0.25">
      <c r="A28" s="99" t="s">
        <v>18</v>
      </c>
      <c r="B28" s="100"/>
      <c r="C28" s="100"/>
      <c r="D28" s="100"/>
      <c r="E28" s="101"/>
      <c r="G28" s="1">
        <f>G27+1</f>
        <v>5</v>
      </c>
      <c r="H28" s="70">
        <f t="shared" si="0"/>
        <v>36518.19677802459</v>
      </c>
      <c r="I28" s="85">
        <f>PMT($B$16,G28,$B$30,-H28)</f>
        <v>-11384.915384601756</v>
      </c>
      <c r="J28" s="70">
        <f t="shared" si="1"/>
        <v>105268.66544903888</v>
      </c>
      <c r="K28" s="85">
        <f>PMT($B$16,G28,$D$30,-J28)</f>
        <v>-43602.656890651378</v>
      </c>
      <c r="M28" s="1">
        <f>M27+1</f>
        <v>5</v>
      </c>
      <c r="N28" s="70">
        <f>MAX($B$83+($B$30-$B$83)*(1-M28*(($B$18/$B$86)+$B$85)),$B$83)</f>
        <v>27512</v>
      </c>
      <c r="O28" s="85">
        <f>PMT($B$16,M28,$B$30,-N28)</f>
        <v>-12720.674435311708</v>
      </c>
      <c r="P28" s="70">
        <f>MAX($D$84,$D$84+($D$30-$D$84)*(1-M28*(($B$18/$D$86)+$D$85)))</f>
        <v>127175</v>
      </c>
      <c r="Q28" s="85">
        <f>PMT($B$16,M28,$D$30,-P28)</f>
        <v>-40353.606779318507</v>
      </c>
    </row>
    <row r="29" spans="1:17" x14ac:dyDescent="0.2">
      <c r="A29" s="21"/>
      <c r="B29" s="22" t="s">
        <v>3</v>
      </c>
      <c r="C29" s="23"/>
      <c r="D29" s="22" t="s">
        <v>52</v>
      </c>
      <c r="E29" s="23"/>
      <c r="G29" s="1">
        <f>G28+1</f>
        <v>6</v>
      </c>
      <c r="H29" s="70">
        <f t="shared" si="0"/>
        <v>33487.186445448548</v>
      </c>
      <c r="I29" s="85">
        <f>PMT($B$16,G29,$B$30,-H29)</f>
        <v>-11056.349988701779</v>
      </c>
      <c r="J29" s="70">
        <f t="shared" si="1"/>
        <v>96531.366216768656</v>
      </c>
      <c r="K29" s="85">
        <f>PMT($B$16,G29,$D$30,-J29)</f>
        <v>-41423.581290298731</v>
      </c>
      <c r="M29" s="1">
        <f>M28+1</f>
        <v>6</v>
      </c>
      <c r="N29" s="70">
        <f>MAX($B$83+($B$30-$B$83)*(1-M29*(($B$18/$B$86)+$B$85)),$B$83)</f>
        <v>21750.400000000001</v>
      </c>
      <c r="O29" s="85">
        <f>PMT($B$16,M29,$B$30,-N29)</f>
        <v>-12397.124165271816</v>
      </c>
      <c r="P29" s="70">
        <f>MAX($D$84,$D$84+($D$30-$D$84)*(1-M29*(($B$18/$D$86)+$D$85)))</f>
        <v>112910</v>
      </c>
      <c r="Q29" s="85">
        <f>PMT($B$16,M29,$D$30,-P29)</f>
        <v>-39552.536833102349</v>
      </c>
    </row>
    <row r="30" spans="1:17" x14ac:dyDescent="0.2">
      <c r="A30" s="1" t="s">
        <v>21</v>
      </c>
      <c r="B30" s="50">
        <v>56320</v>
      </c>
      <c r="C30" s="50"/>
      <c r="D30" s="50">
        <v>198500</v>
      </c>
      <c r="E30" s="50"/>
      <c r="G30" s="1">
        <f>G29+1</f>
        <v>7</v>
      </c>
      <c r="H30" s="70">
        <f t="shared" si="0"/>
        <v>30707.749970476318</v>
      </c>
      <c r="I30" s="85">
        <f>PMT($B$16,G30,$B$30,-H30)</f>
        <v>-10762.332225553655</v>
      </c>
      <c r="J30" s="70">
        <f t="shared" si="1"/>
        <v>88519.262820776858</v>
      </c>
      <c r="K30" s="85">
        <f>PMT($B$16,G30,$D$30,-J30)</f>
        <v>-39712.8994016777</v>
      </c>
      <c r="M30" s="1">
        <f>M29+1</f>
        <v>7</v>
      </c>
      <c r="N30" s="70">
        <f>MAX($B$83+($B$30-$B$83)*(1-M30*(($B$18/$B$86)+$B$85)),$B$83)</f>
        <v>15988.8</v>
      </c>
      <c r="O30" s="85">
        <f>PMT($B$16,M30,$B$30,-N30)</f>
        <v>-12092.341896852295</v>
      </c>
      <c r="P30" s="70">
        <f>MAX($D$84,$D$84+($D$30-$D$84)*(1-M30*(($B$18/$D$86)+$D$85)))</f>
        <v>98645</v>
      </c>
      <c r="Q30" s="85">
        <f>PMT($B$16,M30,$D$30,-P30)</f>
        <v>-38797.934108337606</v>
      </c>
    </row>
    <row r="31" spans="1:17" x14ac:dyDescent="0.2">
      <c r="A31" s="1" t="s">
        <v>8</v>
      </c>
      <c r="B31" s="33">
        <v>221</v>
      </c>
      <c r="C31" s="33"/>
      <c r="D31" s="33">
        <v>250</v>
      </c>
      <c r="E31" s="33"/>
      <c r="G31" s="1">
        <f>G30+1</f>
        <v>8</v>
      </c>
      <c r="H31" s="70">
        <f t="shared" si="0"/>
        <v>28159.006722926784</v>
      </c>
      <c r="I31" s="85">
        <f>PMT($B$16,G31,$B$30,-H31)</f>
        <v>-10499.530883125803</v>
      </c>
      <c r="J31" s="70">
        <f t="shared" si="1"/>
        <v>81172.164006652383</v>
      </c>
      <c r="K31" s="85">
        <f>PMT($B$16,G31,$D$30,-J31)</f>
        <v>-38322.343363298016</v>
      </c>
      <c r="M31" s="1">
        <f>M30+1</f>
        <v>8</v>
      </c>
      <c r="N31" s="119">
        <f>MAX($B$83+($B$30-$B$83)*(1-M31*(($B$18/$B$86)+$B$85)),$B$83)</f>
        <v>12000</v>
      </c>
      <c r="O31" s="85">
        <f>PMT($B$16,M31,$B$30,-N31)</f>
        <v>-11676.715970546382</v>
      </c>
      <c r="P31" s="70">
        <f>MAX($D$84,$D$84+($D$30-$D$84)*(1-M31*(($B$18/$D$86)+$D$85)))</f>
        <v>84380</v>
      </c>
      <c r="Q31" s="85">
        <f>PMT($B$16,M31,$D$30,-P31)</f>
        <v>-38088.652223798585</v>
      </c>
    </row>
    <row r="32" spans="1:17" x14ac:dyDescent="0.2">
      <c r="A32" s="1" t="s">
        <v>19</v>
      </c>
      <c r="B32" s="46">
        <v>10601</v>
      </c>
      <c r="C32" s="46"/>
      <c r="D32" s="46">
        <v>542</v>
      </c>
      <c r="E32" s="46"/>
      <c r="G32" s="1">
        <f>G31+1</f>
        <v>9</v>
      </c>
      <c r="H32" s="70">
        <f t="shared" si="0"/>
        <v>25821.809164923863</v>
      </c>
      <c r="I32" s="85">
        <f>PMT($B$16,G32,$B$30,-H32)</f>
        <v>-10264.899678487825</v>
      </c>
      <c r="J32" s="70">
        <f t="shared" si="1"/>
        <v>74434.874394100232</v>
      </c>
      <c r="K32" s="85">
        <f>PMT($B$16,G32,$D$30,-J32)</f>
        <v>-37166.057654661308</v>
      </c>
      <c r="M32" s="1">
        <f>M31+1</f>
        <v>9</v>
      </c>
      <c r="N32" s="70">
        <f>MAX($B$83+($B$30-$B$83)*(1-M32*(($B$18/$B$86)+$B$85)),$B$83)</f>
        <v>12000</v>
      </c>
      <c r="O32" s="85">
        <f>PMT($B$16,M32,$B$30,-N32)</f>
        <v>-11088.320345099557</v>
      </c>
      <c r="P32" s="70">
        <f>MAX($D$84,$D$84+($D$30-$D$84)*(1-M32*(($B$18/$D$86)+$D$85)))</f>
        <v>70115.000000000015</v>
      </c>
      <c r="Q32" s="85">
        <f>PMT($B$16,M32,$D$30,-P32)</f>
        <v>-37423.409916642755</v>
      </c>
    </row>
    <row r="33" spans="1:17" x14ac:dyDescent="0.2">
      <c r="A33" s="1" t="s">
        <v>20</v>
      </c>
      <c r="B33" s="33">
        <f>B32-6500</f>
        <v>4101</v>
      </c>
      <c r="C33" s="33"/>
      <c r="D33" s="33">
        <v>542</v>
      </c>
      <c r="E33" s="33"/>
      <c r="G33" s="1">
        <f>G32+1</f>
        <v>10</v>
      </c>
      <c r="H33" s="70">
        <f t="shared" si="0"/>
        <v>23678.599004235184</v>
      </c>
      <c r="I33" s="85">
        <f>PMT($B$16,G33,$B$30,-H33)</f>
        <v>-10055.656322504965</v>
      </c>
      <c r="J33" s="70">
        <f t="shared" si="1"/>
        <v>68256.779819389922</v>
      </c>
      <c r="K33" s="85">
        <f>PMT($B$16,G33,$D$30,-J33)</f>
        <v>-36189.747222826969</v>
      </c>
      <c r="M33" s="1">
        <f>M32+1</f>
        <v>10</v>
      </c>
      <c r="N33" s="70">
        <f>MAX($B$83+($B$30-$B$83)*(1-M33*(($B$18/$B$86)+$B$85)),$B$83)</f>
        <v>12000</v>
      </c>
      <c r="O33" s="85">
        <f>PMT($B$16,M33,$B$30,-N33)</f>
        <v>-10630.851410779358</v>
      </c>
      <c r="P33" s="120">
        <f>MAX($D$84,$D$84+($D$30-$D$84)*(1-M33*(($B$18/$D$86)+$D$85)))</f>
        <v>55850.000000000015</v>
      </c>
      <c r="Q33" s="85">
        <f>PMT($B$16,M33,$D$30,-P33)</f>
        <v>-36800.806718133477</v>
      </c>
    </row>
    <row r="34" spans="1:17" x14ac:dyDescent="0.2">
      <c r="A34" s="1"/>
      <c r="B34" s="24"/>
      <c r="C34" s="3"/>
      <c r="D34" s="49"/>
      <c r="E34" s="49"/>
      <c r="G34" s="1">
        <f>G33+1</f>
        <v>11</v>
      </c>
      <c r="H34" s="65"/>
      <c r="I34" s="65"/>
      <c r="J34" s="70">
        <f t="shared" si="1"/>
        <v>62591.467094380561</v>
      </c>
      <c r="K34" s="85">
        <f>PMT($B$16,G34,$D$30,-J34)</f>
        <v>-35356.625221714094</v>
      </c>
      <c r="M34" s="1">
        <f>M33+1</f>
        <v>11</v>
      </c>
      <c r="N34" s="65"/>
      <c r="O34" s="65"/>
      <c r="P34" s="70">
        <f>MAX($D$84,$D$84+($D$30-$D$84)*(1-M34*(($B$18/$D$86)+$D$85)))</f>
        <v>41585</v>
      </c>
      <c r="Q34" s="85">
        <f>PMT($B$16,M34,$D$30,-P34)</f>
        <v>-36219.339460815805</v>
      </c>
    </row>
    <row r="35" spans="1:17" ht="17" customHeight="1" thickBot="1" x14ac:dyDescent="0.25">
      <c r="G35" s="1">
        <f>G34+1</f>
        <v>12</v>
      </c>
      <c r="J35" s="70">
        <f t="shared" si="1"/>
        <v>57396.375325546978</v>
      </c>
      <c r="K35" s="85">
        <f>PMT($B$16,G35,$D$30,-J35)</f>
        <v>-34640.362493649816</v>
      </c>
      <c r="M35" s="1">
        <f>M34+1</f>
        <v>12</v>
      </c>
      <c r="P35" s="119">
        <f>MAX($D$84,$D$84+($D$30-$D$84)*(1-M35*(($B$18/$D$86)+$D$85)))</f>
        <v>40000</v>
      </c>
      <c r="Q35" s="85">
        <f>PMT($B$16,M35,$D$30,-P35)</f>
        <v>-35240.203016738065</v>
      </c>
    </row>
    <row r="36" spans="1:17" ht="17" thickBot="1" x14ac:dyDescent="0.25">
      <c r="A36" s="99" t="s">
        <v>13</v>
      </c>
      <c r="B36" s="100"/>
      <c r="C36" s="100"/>
      <c r="D36" s="100"/>
      <c r="E36" s="101"/>
      <c r="G36" s="1">
        <f>G35+1</f>
        <v>13</v>
      </c>
      <c r="J36" s="70">
        <f t="shared" si="1"/>
        <v>52632.476173526578</v>
      </c>
      <c r="K36" s="85">
        <f>PMT($B$16,G36,$D$30,-J36)</f>
        <v>-34021.270209846742</v>
      </c>
      <c r="M36" s="1">
        <f>M35+1</f>
        <v>13</v>
      </c>
      <c r="P36" s="70">
        <f>MAX($D$84,$D$84+($D$30-$D$84)*(1-M36*(($B$18/$D$86)+$D$85)))</f>
        <v>40000</v>
      </c>
      <c r="Q36" s="85">
        <f>PMT($B$16,M36,$D$30,-P36)</f>
        <v>-34389.007358220195</v>
      </c>
    </row>
    <row r="37" spans="1:17" x14ac:dyDescent="0.2">
      <c r="A37" s="21"/>
      <c r="B37" s="22" t="s">
        <v>3</v>
      </c>
      <c r="C37" s="23"/>
      <c r="D37" s="22" t="s">
        <v>53</v>
      </c>
      <c r="E37" s="23"/>
      <c r="G37" s="1">
        <f>G36+1</f>
        <v>14</v>
      </c>
      <c r="J37" s="70">
        <f t="shared" si="1"/>
        <v>48263.980651123871</v>
      </c>
      <c r="K37" s="85">
        <f>PMT($B$16,G37,$D$30,-J37)</f>
        <v>-33484.100436371584</v>
      </c>
      <c r="M37" s="1">
        <f>M36+1</f>
        <v>14</v>
      </c>
      <c r="P37" s="70">
        <f>MAX($D$84,$D$84+($D$30-$D$84)*(1-M37*(($B$18/$D$86)+$D$85)))</f>
        <v>40000</v>
      </c>
      <c r="Q37" s="85">
        <f>PMT($B$16,M37,$D$30,-P37)</f>
        <v>-33688.125638663914</v>
      </c>
    </row>
    <row r="38" spans="1:17" x14ac:dyDescent="0.2">
      <c r="A38" s="1" t="s">
        <v>17</v>
      </c>
      <c r="B38" s="33">
        <v>4</v>
      </c>
      <c r="C38" s="33"/>
      <c r="D38" s="33">
        <v>2</v>
      </c>
      <c r="E38" s="33"/>
      <c r="G38" s="1">
        <f>G37+1</f>
        <v>15</v>
      </c>
      <c r="J38" s="70">
        <f t="shared" si="1"/>
        <v>44258.070257080595</v>
      </c>
      <c r="K38" s="85">
        <f>PMT($B$16,G38,$D$30,-J38)</f>
        <v>-33016.710757674009</v>
      </c>
      <c r="M38" s="1">
        <f>M37+1</f>
        <v>15</v>
      </c>
      <c r="P38" s="70">
        <f>MAX($D$84,$D$84+($D$30-$D$84)*(1-M38*(($B$18/$D$86)+$D$85)))</f>
        <v>40000</v>
      </c>
      <c r="Q38" s="85">
        <f>PMT($B$16,M38,$D$30,-P38)</f>
        <v>-33106.202844438718</v>
      </c>
    </row>
    <row r="39" spans="1:17" ht="15" customHeight="1" x14ac:dyDescent="0.2">
      <c r="A39" s="1" t="s">
        <v>16</v>
      </c>
      <c r="B39" s="33">
        <v>4</v>
      </c>
      <c r="C39" s="33"/>
      <c r="D39" s="33">
        <v>4</v>
      </c>
      <c r="E39" s="33"/>
      <c r="G39" s="1">
        <f>G38+1</f>
        <v>16</v>
      </c>
      <c r="J39" s="70">
        <f t="shared" si="1"/>
        <v>40584.650425742904</v>
      </c>
      <c r="K39" s="85">
        <f>PMT($B$16,G39,$D$30,-J39)</f>
        <v>-32609.215956258715</v>
      </c>
      <c r="M39" s="1">
        <f>M38+1</f>
        <v>16</v>
      </c>
      <c r="P39" s="70">
        <f>MAX($D$84,$D$84+($D$30-$D$84)*(1-M39*(($B$18/$D$86)+$D$85)))</f>
        <v>40000</v>
      </c>
      <c r="Q39" s="85">
        <f>PMT($B$16,M39,$D$30,-P39)</f>
        <v>-32619.709081657493</v>
      </c>
    </row>
    <row r="40" spans="1:17" ht="16" customHeight="1" x14ac:dyDescent="0.2">
      <c r="A40" s="1" t="s">
        <v>15</v>
      </c>
      <c r="B40" s="50">
        <v>1200</v>
      </c>
      <c r="C40" s="50"/>
      <c r="D40" s="50">
        <v>1300</v>
      </c>
      <c r="E40" s="50"/>
      <c r="G40" s="1">
        <f>G39+1</f>
        <v>17</v>
      </c>
      <c r="J40" s="70">
        <f t="shared" si="1"/>
        <v>37216.124440406245</v>
      </c>
      <c r="K40" s="85">
        <f>PMT($B$16,G40,$D$30,-J40)</f>
        <v>-32253.427109708296</v>
      </c>
      <c r="M40" s="1">
        <f>M39+1</f>
        <v>17</v>
      </c>
      <c r="P40" s="70">
        <f>MAX($D$84,$D$84+($D$30-$D$84)*(1-M40*(($B$18/$D$86)+$D$85)))</f>
        <v>40000</v>
      </c>
      <c r="Q40" s="85">
        <f>PMT($B$16,M40,$D$30,-P40)</f>
        <v>-32210.647677275803</v>
      </c>
    </row>
    <row r="41" spans="1:17" ht="16" customHeight="1" x14ac:dyDescent="0.2">
      <c r="A41" s="1" t="s">
        <v>22</v>
      </c>
      <c r="B41" s="50">
        <v>1800</v>
      </c>
      <c r="C41" s="50"/>
      <c r="D41" s="50">
        <v>1800</v>
      </c>
      <c r="E41" s="50"/>
      <c r="G41" s="1">
        <f>G40+1</f>
        <v>18</v>
      </c>
      <c r="J41" s="70">
        <f t="shared" si="1"/>
        <v>34127.186111852527</v>
      </c>
      <c r="K41" s="85">
        <f>PMT($B$16,G41,$D$30,-J41)</f>
        <v>-31942.46715681193</v>
      </c>
      <c r="M41" s="1">
        <f>M40+1</f>
        <v>18</v>
      </c>
      <c r="P41" s="70">
        <f>MAX($D$84,$D$84+($D$30-$D$84)*(1-M41*(($B$18/$D$86)+$D$85)))</f>
        <v>40000</v>
      </c>
      <c r="Q41" s="85">
        <f>PMT($B$16,M41,$D$30,-P41)</f>
        <v>-31865.026545317072</v>
      </c>
    </row>
    <row r="42" spans="1:17" x14ac:dyDescent="0.2">
      <c r="A42" s="51" t="s">
        <v>23</v>
      </c>
      <c r="B42" s="52">
        <f>B39*B41+B38*B40</f>
        <v>12000</v>
      </c>
      <c r="C42" s="52"/>
      <c r="D42" s="52">
        <f>D39*D41+D38*D40</f>
        <v>9800</v>
      </c>
      <c r="E42" s="52"/>
      <c r="G42" s="67">
        <f>G41+1</f>
        <v>19</v>
      </c>
      <c r="J42" s="70">
        <f t="shared" si="1"/>
        <v>31294.629664568769</v>
      </c>
      <c r="K42" s="89">
        <f>PMT($B$16,G42,$D$30,-J42)</f>
        <v>-31670.498669508903</v>
      </c>
      <c r="M42" s="67">
        <f>M41+1</f>
        <v>19</v>
      </c>
      <c r="N42" s="122" t="s">
        <v>76</v>
      </c>
      <c r="O42" s="122"/>
      <c r="P42" s="88">
        <f>MAX($D$84,$D$84+($D$30-$D$84)*(1-M42*(($B$18/$D$86)+$D$85)))</f>
        <v>40000</v>
      </c>
      <c r="Q42" s="89">
        <f>PMT($B$16,M42,$D$30,-P42)</f>
        <v>-31571.81154088804</v>
      </c>
    </row>
    <row r="43" spans="1:17" x14ac:dyDescent="0.2">
      <c r="A43" s="51" t="s">
        <v>25</v>
      </c>
      <c r="B43" s="49">
        <f>B18/B22</f>
        <v>0.17142857142857143</v>
      </c>
      <c r="C43" s="49"/>
      <c r="D43" s="49">
        <f>B18/B22</f>
        <v>0.17142857142857143</v>
      </c>
      <c r="E43" s="49"/>
      <c r="G43" s="1">
        <f>G42+1</f>
        <v>20</v>
      </c>
      <c r="H43" s="1"/>
      <c r="I43" s="1"/>
      <c r="J43" s="70">
        <f t="shared" si="1"/>
        <v>28697.175402409561</v>
      </c>
      <c r="K43" s="85">
        <f>PMT($B$16,G43,$D$30,-J43)</f>
        <v>-31432.525247121095</v>
      </c>
      <c r="M43" s="1">
        <f>M42+1</f>
        <v>20</v>
      </c>
      <c r="N43" s="1"/>
      <c r="O43" s="1"/>
      <c r="P43" s="70">
        <f>MAX($D$84,$D$84+($D$30-$D$84)*(1-M43*(($B$18/$D$86)+$D$85)))</f>
        <v>40000</v>
      </c>
      <c r="Q43" s="85">
        <f>PMT($B$16,M43,$D$30,-P43)</f>
        <v>-31322.193059310401</v>
      </c>
    </row>
    <row r="44" spans="1:17" x14ac:dyDescent="0.2">
      <c r="A44" s="35"/>
      <c r="B44" s="54"/>
      <c r="C44" s="54"/>
      <c r="D44" s="54"/>
      <c r="E44" s="55"/>
      <c r="G44" s="54"/>
      <c r="H44" s="54"/>
      <c r="I44" s="54"/>
      <c r="J44" s="90"/>
      <c r="K44" s="91"/>
    </row>
    <row r="45" spans="1:17" ht="16" customHeight="1" x14ac:dyDescent="0.2">
      <c r="A45" s="1" t="s">
        <v>24</v>
      </c>
      <c r="B45" s="58">
        <f>B42*B43</f>
        <v>2057.1428571428573</v>
      </c>
      <c r="C45" s="29"/>
      <c r="D45" s="58">
        <f>D42*D43</f>
        <v>1680</v>
      </c>
      <c r="E45" s="29"/>
    </row>
    <row r="46" spans="1:17" ht="17" customHeight="1" thickBot="1" x14ac:dyDescent="0.25"/>
    <row r="47" spans="1:17" ht="17" thickBot="1" x14ac:dyDescent="0.25">
      <c r="A47" s="99" t="s">
        <v>11</v>
      </c>
      <c r="B47" s="100"/>
      <c r="C47" s="100"/>
      <c r="D47" s="100"/>
      <c r="E47" s="101"/>
      <c r="G47" s="99" t="s">
        <v>90</v>
      </c>
      <c r="H47" s="100"/>
      <c r="I47" s="100"/>
      <c r="J47" s="100"/>
      <c r="K47" s="100"/>
      <c r="L47" s="100"/>
      <c r="M47" s="101"/>
    </row>
    <row r="48" spans="1:17" ht="16" customHeight="1" x14ac:dyDescent="0.2">
      <c r="A48" s="21"/>
      <c r="B48" s="22" t="s">
        <v>3</v>
      </c>
      <c r="C48" s="23"/>
      <c r="D48" s="22" t="s">
        <v>52</v>
      </c>
      <c r="E48" s="23"/>
      <c r="G48" s="42"/>
      <c r="H48" s="73" t="s">
        <v>3</v>
      </c>
      <c r="I48" s="74"/>
      <c r="J48" s="75"/>
      <c r="K48" s="123" t="s">
        <v>52</v>
      </c>
      <c r="L48" s="124"/>
      <c r="M48" s="125"/>
    </row>
    <row r="49" spans="1:18" x14ac:dyDescent="0.2">
      <c r="A49" s="1" t="s">
        <v>26</v>
      </c>
      <c r="B49" s="33">
        <v>215</v>
      </c>
      <c r="C49" s="33"/>
      <c r="D49" s="33">
        <v>250</v>
      </c>
      <c r="E49" s="33"/>
      <c r="G49" s="1" t="s">
        <v>49</v>
      </c>
      <c r="H49" s="1" t="s">
        <v>56</v>
      </c>
      <c r="I49" s="1" t="s">
        <v>55</v>
      </c>
      <c r="J49" s="85" t="s">
        <v>57</v>
      </c>
      <c r="K49" s="42" t="s">
        <v>56</v>
      </c>
      <c r="L49" s="42" t="s">
        <v>55</v>
      </c>
      <c r="M49" s="51" t="s">
        <v>57</v>
      </c>
    </row>
    <row r="50" spans="1:18" x14ac:dyDescent="0.2">
      <c r="A50" s="1" t="s">
        <v>37</v>
      </c>
      <c r="B50" s="34">
        <v>0.1</v>
      </c>
      <c r="C50" s="33"/>
      <c r="D50" s="34">
        <v>-0.1</v>
      </c>
      <c r="E50" s="33"/>
      <c r="G50" s="1">
        <v>1</v>
      </c>
      <c r="H50" s="85">
        <f>-$H$18</f>
        <v>-25492.070857142855</v>
      </c>
      <c r="I50" s="85">
        <f>O24</f>
        <v>-14209.599999999999</v>
      </c>
      <c r="J50" s="81">
        <f>H50+I50</f>
        <v>-39701.670857142853</v>
      </c>
      <c r="K50" s="85">
        <f>-$J$18</f>
        <v>-20942.936799999999</v>
      </c>
      <c r="L50" s="85">
        <f>Q24</f>
        <v>-44040</v>
      </c>
      <c r="M50" s="81">
        <f>L50+K50</f>
        <v>-64982.936799999996</v>
      </c>
    </row>
    <row r="51" spans="1:18" x14ac:dyDescent="0.2">
      <c r="A51" s="31"/>
      <c r="B51" s="28"/>
      <c r="C51" s="28"/>
      <c r="D51" s="28"/>
      <c r="E51" s="29"/>
      <c r="G51" s="1">
        <f>G50+1</f>
        <v>2</v>
      </c>
      <c r="H51" s="85">
        <f t="shared" ref="H51:H59" si="2">-$H$18</f>
        <v>-25492.070857142855</v>
      </c>
      <c r="I51" s="85">
        <f>O25</f>
        <v>-13807.627906976742</v>
      </c>
      <c r="J51" s="81">
        <f t="shared" ref="J51:J59" si="3">H51+I51</f>
        <v>-39299.698764119596</v>
      </c>
      <c r="K51" s="85">
        <f t="shared" ref="K51:K69" si="4">-$J$18</f>
        <v>-20942.936799999999</v>
      </c>
      <c r="L51" s="85">
        <f>Q25</f>
        <v>-43044.767441860466</v>
      </c>
      <c r="M51" s="81">
        <f t="shared" ref="M51:M69" si="5">L51+K51</f>
        <v>-63987.704241860469</v>
      </c>
    </row>
    <row r="52" spans="1:18" x14ac:dyDescent="0.2">
      <c r="A52" s="1" t="s">
        <v>12</v>
      </c>
      <c r="B52" s="3">
        <f>($B$24*150*$B$20+0.019*B49)*(1+B50)</f>
        <v>9.4599999999999991</v>
      </c>
      <c r="C52" s="3"/>
      <c r="D52" s="64">
        <f>($B$24*150*$B$20+0.019*D49)*(1+D50)</f>
        <v>8.3384999999999998</v>
      </c>
      <c r="E52" s="64"/>
      <c r="G52" s="1">
        <f>G51+1</f>
        <v>3</v>
      </c>
      <c r="H52" s="85">
        <f t="shared" si="2"/>
        <v>-25492.070857142855</v>
      </c>
      <c r="I52" s="85">
        <f>O26</f>
        <v>-13425.624190064796</v>
      </c>
      <c r="J52" s="81">
        <f t="shared" si="3"/>
        <v>-38917.69504720765</v>
      </c>
      <c r="K52" s="85">
        <f t="shared" si="4"/>
        <v>-20942.936799999999</v>
      </c>
      <c r="L52" s="85">
        <f>Q26</f>
        <v>-42098.974082073437</v>
      </c>
      <c r="M52" s="81">
        <f t="shared" si="5"/>
        <v>-63041.91088207344</v>
      </c>
    </row>
    <row r="53" spans="1:18" x14ac:dyDescent="0.2">
      <c r="G53" s="1">
        <f>G52+1</f>
        <v>4</v>
      </c>
      <c r="H53" s="85">
        <f t="shared" si="2"/>
        <v>-25492.070857142855</v>
      </c>
      <c r="I53" s="85">
        <f>O27</f>
        <v>-13063.395398903549</v>
      </c>
      <c r="J53" s="81">
        <f t="shared" si="3"/>
        <v>-38555.466256046406</v>
      </c>
      <c r="K53" s="85">
        <f t="shared" si="4"/>
        <v>-20942.936799999999</v>
      </c>
      <c r="L53" s="85">
        <f>Q27</f>
        <v>-41202.140961774356</v>
      </c>
      <c r="M53" s="81">
        <f t="shared" si="5"/>
        <v>-62145.077761774359</v>
      </c>
    </row>
    <row r="54" spans="1:18" ht="17" thickBot="1" x14ac:dyDescent="0.25">
      <c r="G54" s="1">
        <f>G53+1</f>
        <v>5</v>
      </c>
      <c r="H54" s="85">
        <f t="shared" si="2"/>
        <v>-25492.070857142855</v>
      </c>
      <c r="I54" s="85">
        <f>O28</f>
        <v>-12720.674435311708</v>
      </c>
      <c r="J54" s="81">
        <f t="shared" si="3"/>
        <v>-38212.745292454565</v>
      </c>
      <c r="K54" s="85">
        <f t="shared" si="4"/>
        <v>-20942.936799999999</v>
      </c>
      <c r="L54" s="85">
        <f>Q28</f>
        <v>-40353.606779318507</v>
      </c>
      <c r="M54" s="81">
        <f t="shared" si="5"/>
        <v>-61296.543579318502</v>
      </c>
    </row>
    <row r="55" spans="1:18" ht="17" thickBot="1" x14ac:dyDescent="0.25">
      <c r="A55" s="99" t="s">
        <v>28</v>
      </c>
      <c r="B55" s="100"/>
      <c r="C55" s="100"/>
      <c r="D55" s="100"/>
      <c r="E55" s="101"/>
      <c r="G55" s="1">
        <f>G54+1</f>
        <v>6</v>
      </c>
      <c r="H55" s="85">
        <f t="shared" si="2"/>
        <v>-25492.070857142855</v>
      </c>
      <c r="I55" s="85">
        <f>O29</f>
        <v>-12397.124165271816</v>
      </c>
      <c r="J55" s="81">
        <f t="shared" si="3"/>
        <v>-37889.195022414671</v>
      </c>
      <c r="K55" s="85">
        <f t="shared" si="4"/>
        <v>-20942.936799999999</v>
      </c>
      <c r="L55" s="85">
        <f>Q29</f>
        <v>-39552.536833102349</v>
      </c>
      <c r="M55" s="81">
        <f t="shared" si="5"/>
        <v>-60495.473633102345</v>
      </c>
    </row>
    <row r="56" spans="1:18" ht="17" thickBot="1" x14ac:dyDescent="0.25">
      <c r="A56" s="42"/>
      <c r="B56" s="71" t="s">
        <v>3</v>
      </c>
      <c r="C56" s="72"/>
      <c r="D56" s="71" t="s">
        <v>53</v>
      </c>
      <c r="E56" s="72"/>
      <c r="G56" s="1">
        <f>G55+1</f>
        <v>7</v>
      </c>
      <c r="H56" s="85">
        <f t="shared" si="2"/>
        <v>-25492.070857142855</v>
      </c>
      <c r="I56" s="85">
        <f>O30</f>
        <v>-12092.341896852295</v>
      </c>
      <c r="J56" s="81">
        <f t="shared" si="3"/>
        <v>-37584.412753995151</v>
      </c>
      <c r="K56" s="85">
        <f t="shared" si="4"/>
        <v>-20942.936799999999</v>
      </c>
      <c r="L56" s="85">
        <f>Q30</f>
        <v>-38797.934108337606</v>
      </c>
      <c r="M56" s="81">
        <f t="shared" si="5"/>
        <v>-59740.870908337602</v>
      </c>
    </row>
    <row r="57" spans="1:18" ht="17" thickBot="1" x14ac:dyDescent="0.25">
      <c r="A57" s="53" t="s">
        <v>32</v>
      </c>
      <c r="B57" s="50">
        <v>200</v>
      </c>
      <c r="C57" s="33"/>
      <c r="D57" s="50">
        <v>180</v>
      </c>
      <c r="E57" s="50"/>
      <c r="G57" s="1">
        <f>G56+1</f>
        <v>8</v>
      </c>
      <c r="H57" s="121">
        <f t="shared" si="2"/>
        <v>-25492.070857142855</v>
      </c>
      <c r="I57" s="85">
        <f>O31</f>
        <v>-11676.715970546382</v>
      </c>
      <c r="J57" s="81">
        <f t="shared" si="3"/>
        <v>-37168.78682768924</v>
      </c>
      <c r="K57" s="85">
        <f t="shared" si="4"/>
        <v>-20942.936799999999</v>
      </c>
      <c r="L57" s="85">
        <f>Q31</f>
        <v>-38088.652223798585</v>
      </c>
      <c r="M57" s="128">
        <f t="shared" si="5"/>
        <v>-59031.589023798588</v>
      </c>
      <c r="N57" s="26" t="s">
        <v>64</v>
      </c>
      <c r="O57" s="27"/>
    </row>
    <row r="58" spans="1:18" x14ac:dyDescent="0.2">
      <c r="A58" s="51" t="s">
        <v>31</v>
      </c>
      <c r="B58" s="50">
        <v>125</v>
      </c>
      <c r="C58" s="50"/>
      <c r="D58" s="50">
        <v>125</v>
      </c>
      <c r="E58" s="50"/>
      <c r="G58" s="1">
        <f>G57+1</f>
        <v>9</v>
      </c>
      <c r="H58" s="85">
        <f t="shared" si="2"/>
        <v>-25492.070857142855</v>
      </c>
      <c r="I58" s="85">
        <f>O32</f>
        <v>-11088.320345099557</v>
      </c>
      <c r="J58" s="81">
        <f t="shared" si="3"/>
        <v>-36580.391202242412</v>
      </c>
      <c r="K58" s="85">
        <f t="shared" si="4"/>
        <v>-20942.936799999999</v>
      </c>
      <c r="L58" s="85">
        <f>Q32</f>
        <v>-37423.409916642755</v>
      </c>
      <c r="M58" s="81">
        <f t="shared" si="5"/>
        <v>-58366.346716642758</v>
      </c>
      <c r="N58" s="129" t="s">
        <v>77</v>
      </c>
      <c r="O58" s="130"/>
    </row>
    <row r="59" spans="1:18" x14ac:dyDescent="0.2">
      <c r="A59" s="63" t="s">
        <v>34</v>
      </c>
      <c r="B59" s="50">
        <v>200</v>
      </c>
      <c r="C59" s="50"/>
      <c r="D59" s="50">
        <v>200</v>
      </c>
      <c r="E59" s="50"/>
      <c r="F59" s="105" t="s">
        <v>60</v>
      </c>
      <c r="G59" s="126">
        <f>G58+1</f>
        <v>10</v>
      </c>
      <c r="H59" s="85">
        <f t="shared" si="2"/>
        <v>-25492.070857142855</v>
      </c>
      <c r="I59" s="85">
        <f>O33</f>
        <v>-10630.851410779358</v>
      </c>
      <c r="J59" s="81">
        <f t="shared" si="3"/>
        <v>-36122.922267922215</v>
      </c>
      <c r="K59" s="85">
        <f t="shared" si="4"/>
        <v>-20942.936799999999</v>
      </c>
      <c r="L59" s="85">
        <f>Q33</f>
        <v>-36800.806718133477</v>
      </c>
      <c r="M59" s="81">
        <f t="shared" si="5"/>
        <v>-57743.743518133473</v>
      </c>
      <c r="N59" s="96">
        <f>M59-J59</f>
        <v>-21620.821250211258</v>
      </c>
      <c r="O59" s="3"/>
    </row>
    <row r="60" spans="1:18" x14ac:dyDescent="0.2">
      <c r="A60" s="51" t="s">
        <v>35</v>
      </c>
      <c r="B60" s="61">
        <v>200</v>
      </c>
      <c r="C60" s="61"/>
      <c r="D60" s="60">
        <v>200</v>
      </c>
      <c r="E60" s="62"/>
      <c r="G60" s="1">
        <f>G59+1</f>
        <v>11</v>
      </c>
      <c r="H60" s="92"/>
      <c r="I60" s="65"/>
      <c r="J60" s="65"/>
      <c r="K60" s="85">
        <f t="shared" si="4"/>
        <v>-20942.936799999999</v>
      </c>
      <c r="L60" s="85">
        <f>Q34</f>
        <v>-36219.339460815805</v>
      </c>
      <c r="M60" s="81">
        <f t="shared" si="5"/>
        <v>-57162.276260815808</v>
      </c>
      <c r="N60" s="37" t="s">
        <v>78</v>
      </c>
      <c r="O60" s="37"/>
    </row>
    <row r="61" spans="1:18" x14ac:dyDescent="0.2">
      <c r="A61" s="51" t="s">
        <v>38</v>
      </c>
      <c r="B61" s="61">
        <v>500</v>
      </c>
      <c r="C61" s="61"/>
      <c r="D61" s="60">
        <v>250</v>
      </c>
      <c r="E61" s="62"/>
      <c r="G61" s="1">
        <f>G60+1</f>
        <v>12</v>
      </c>
      <c r="K61" s="121">
        <f t="shared" si="4"/>
        <v>-20942.936799999999</v>
      </c>
      <c r="L61" s="85">
        <f>Q35</f>
        <v>-35240.203016738065</v>
      </c>
      <c r="M61" s="81">
        <f t="shared" si="5"/>
        <v>-56183.139816738068</v>
      </c>
      <c r="N61" s="37"/>
      <c r="O61" s="37"/>
    </row>
    <row r="62" spans="1:18" x14ac:dyDescent="0.2">
      <c r="A62" s="51" t="s">
        <v>29</v>
      </c>
      <c r="B62" s="38">
        <v>250</v>
      </c>
      <c r="C62" s="38"/>
      <c r="D62" s="47">
        <v>250</v>
      </c>
      <c r="E62" s="48"/>
      <c r="G62" s="1">
        <f>G61+1</f>
        <v>13</v>
      </c>
      <c r="K62" s="85">
        <f t="shared" si="4"/>
        <v>-20942.936799999999</v>
      </c>
      <c r="L62" s="85">
        <f>Q36</f>
        <v>-34389.007358220195</v>
      </c>
      <c r="M62" s="81">
        <f t="shared" si="5"/>
        <v>-55331.944158220198</v>
      </c>
      <c r="N62" s="37"/>
      <c r="O62" s="37"/>
    </row>
    <row r="63" spans="1:18" x14ac:dyDescent="0.2">
      <c r="A63" s="51" t="s">
        <v>33</v>
      </c>
      <c r="B63" s="38">
        <v>500</v>
      </c>
      <c r="C63" s="38"/>
      <c r="D63" s="47">
        <v>500</v>
      </c>
      <c r="E63" s="48"/>
      <c r="G63" s="1">
        <f>G62+1</f>
        <v>14</v>
      </c>
      <c r="K63" s="85">
        <f t="shared" si="4"/>
        <v>-20942.936799999999</v>
      </c>
      <c r="L63" s="85">
        <f>Q37</f>
        <v>-33688.125638663914</v>
      </c>
      <c r="M63" s="81">
        <f t="shared" si="5"/>
        <v>-54631.06243866391</v>
      </c>
      <c r="N63" s="37"/>
      <c r="O63" s="37"/>
    </row>
    <row r="64" spans="1:18" x14ac:dyDescent="0.2">
      <c r="A64" s="51" t="s">
        <v>40</v>
      </c>
      <c r="B64" s="38">
        <v>1000</v>
      </c>
      <c r="C64" s="38"/>
      <c r="D64" s="47">
        <v>1000</v>
      </c>
      <c r="E64" s="48"/>
      <c r="G64" s="1">
        <f>G63+1</f>
        <v>15</v>
      </c>
      <c r="K64" s="85">
        <f t="shared" si="4"/>
        <v>-20942.936799999999</v>
      </c>
      <c r="L64" s="85">
        <f>Q38</f>
        <v>-33106.202844438718</v>
      </c>
      <c r="M64" s="81">
        <f t="shared" si="5"/>
        <v>-54049.139644438721</v>
      </c>
      <c r="N64" s="37"/>
      <c r="O64" s="37"/>
      <c r="P64" s="90"/>
      <c r="Q64" s="90"/>
      <c r="R64" s="91"/>
    </row>
    <row r="65" spans="1:18" x14ac:dyDescent="0.2">
      <c r="A65" s="51" t="s">
        <v>36</v>
      </c>
      <c r="B65" s="38">
        <v>750</v>
      </c>
      <c r="C65" s="38"/>
      <c r="D65" s="47">
        <v>750</v>
      </c>
      <c r="E65" s="48"/>
      <c r="G65" s="1">
        <f>G64+1</f>
        <v>16</v>
      </c>
      <c r="K65" s="85">
        <f t="shared" si="4"/>
        <v>-20942.936799999999</v>
      </c>
      <c r="L65" s="85">
        <f>Q39</f>
        <v>-32619.709081657493</v>
      </c>
      <c r="M65" s="81">
        <f t="shared" si="5"/>
        <v>-53562.645881657489</v>
      </c>
      <c r="N65" s="37"/>
      <c r="O65" s="37"/>
      <c r="P65" s="118"/>
      <c r="Q65" s="118"/>
      <c r="R65" s="118"/>
    </row>
    <row r="66" spans="1:18" x14ac:dyDescent="0.2">
      <c r="A66" s="35"/>
      <c r="B66" s="28"/>
      <c r="C66" s="28"/>
      <c r="D66" s="28"/>
      <c r="E66" s="29"/>
      <c r="G66" s="1">
        <f>G65+1</f>
        <v>17</v>
      </c>
      <c r="K66" s="85">
        <f t="shared" si="4"/>
        <v>-20942.936799999999</v>
      </c>
      <c r="L66" s="85">
        <f>Q40</f>
        <v>-32210.647677275803</v>
      </c>
      <c r="M66" s="81">
        <f t="shared" si="5"/>
        <v>-53153.584477275799</v>
      </c>
      <c r="O66" s="69"/>
      <c r="P66" s="87"/>
      <c r="Q66" s="87"/>
      <c r="R66" s="87"/>
    </row>
    <row r="67" spans="1:18" x14ac:dyDescent="0.2">
      <c r="A67" s="1" t="s">
        <v>39</v>
      </c>
      <c r="B67" s="58">
        <f>$B$18*(B57/B62+B58/B63+B59/B64+B60/B65)+B61</f>
        <v>1410</v>
      </c>
      <c r="C67" s="29"/>
      <c r="D67" s="58">
        <f>$B$18*(D57/D62+D58/D63+D59/D64+D60/D65)+D61</f>
        <v>1112</v>
      </c>
      <c r="E67" s="29"/>
      <c r="G67" s="1">
        <f>G66+1</f>
        <v>18</v>
      </c>
      <c r="K67" s="85">
        <f t="shared" si="4"/>
        <v>-20942.936799999999</v>
      </c>
      <c r="L67" s="85">
        <f>Q41</f>
        <v>-31865.026545317072</v>
      </c>
      <c r="M67" s="81">
        <f t="shared" si="5"/>
        <v>-52807.963345317068</v>
      </c>
      <c r="O67" s="69"/>
      <c r="P67" s="93"/>
      <c r="Q67" s="93"/>
      <c r="R67" s="69"/>
    </row>
    <row r="68" spans="1:18" x14ac:dyDescent="0.2">
      <c r="G68" s="67">
        <f>G67+1</f>
        <v>19</v>
      </c>
      <c r="K68" s="89">
        <f t="shared" si="4"/>
        <v>-20942.936799999999</v>
      </c>
      <c r="L68" s="89">
        <f>Q42</f>
        <v>-31571.81154088804</v>
      </c>
      <c r="M68" s="127">
        <f t="shared" si="5"/>
        <v>-52514.748340888036</v>
      </c>
      <c r="O68" s="69"/>
      <c r="P68" s="93"/>
      <c r="Q68" s="93"/>
      <c r="R68" s="69"/>
    </row>
    <row r="69" spans="1:18" ht="17" thickBot="1" x14ac:dyDescent="0.25">
      <c r="G69" s="1">
        <f>G68+1</f>
        <v>20</v>
      </c>
      <c r="H69" s="1" t="s">
        <v>75</v>
      </c>
      <c r="I69" s="1"/>
      <c r="J69" s="1"/>
      <c r="K69" s="85">
        <f t="shared" si="4"/>
        <v>-20942.936799999999</v>
      </c>
      <c r="L69" s="85">
        <f>Q43</f>
        <v>-31322.193059310401</v>
      </c>
      <c r="M69" s="81">
        <f t="shared" si="5"/>
        <v>-52265.1298593104</v>
      </c>
      <c r="O69" s="69"/>
      <c r="P69" s="93"/>
      <c r="Q69" s="93"/>
      <c r="R69" s="69"/>
    </row>
    <row r="70" spans="1:18" ht="17" thickBot="1" x14ac:dyDescent="0.25">
      <c r="A70" s="18" t="s">
        <v>47</v>
      </c>
      <c r="B70" s="19"/>
      <c r="C70" s="19"/>
      <c r="D70" s="19"/>
      <c r="E70" s="20"/>
      <c r="G70" s="54"/>
      <c r="H70" s="54"/>
      <c r="I70" s="54"/>
      <c r="J70" s="54"/>
      <c r="K70" s="91"/>
      <c r="L70" s="91"/>
      <c r="M70" s="95"/>
      <c r="O70" s="69"/>
      <c r="P70" s="93"/>
      <c r="Q70" s="93"/>
      <c r="R70" s="69"/>
    </row>
    <row r="71" spans="1:18" x14ac:dyDescent="0.2">
      <c r="A71" s="94"/>
      <c r="B71" s="71" t="s">
        <v>3</v>
      </c>
      <c r="C71" s="72"/>
      <c r="D71" s="71" t="s">
        <v>53</v>
      </c>
      <c r="E71" s="72"/>
      <c r="H71" s="122" t="s">
        <v>76</v>
      </c>
      <c r="I71" s="122"/>
      <c r="O71" s="69"/>
      <c r="P71" s="93"/>
      <c r="Q71" s="93"/>
      <c r="R71" s="69"/>
    </row>
    <row r="72" spans="1:18" ht="17" thickBot="1" x14ac:dyDescent="0.25">
      <c r="A72" s="51" t="s">
        <v>58</v>
      </c>
      <c r="B72" s="50">
        <f>2000*(1+B114)</f>
        <v>2000</v>
      </c>
      <c r="C72" s="33"/>
      <c r="D72" s="50">
        <v>500</v>
      </c>
      <c r="E72" s="50"/>
      <c r="M72" s="59"/>
      <c r="N72" s="93"/>
      <c r="O72" s="69"/>
      <c r="P72" s="93"/>
      <c r="Q72" s="93"/>
      <c r="R72" s="69"/>
    </row>
    <row r="73" spans="1:18" ht="17" thickBot="1" x14ac:dyDescent="0.25">
      <c r="A73" s="59"/>
      <c r="B73" s="66"/>
      <c r="C73" s="66"/>
      <c r="D73" s="66"/>
      <c r="E73" s="66"/>
      <c r="G73" s="99" t="s">
        <v>55</v>
      </c>
      <c r="H73" s="100"/>
      <c r="I73" s="100"/>
      <c r="J73" s="100"/>
      <c r="K73" s="101"/>
      <c r="M73" s="59"/>
      <c r="N73" s="93"/>
      <c r="O73" s="69"/>
      <c r="P73" s="93"/>
      <c r="Q73" s="93"/>
      <c r="R73" s="69"/>
    </row>
    <row r="74" spans="1:18" ht="17" thickBot="1" x14ac:dyDescent="0.25">
      <c r="A74" s="59"/>
      <c r="B74" s="66"/>
      <c r="C74" s="66"/>
      <c r="D74" s="66"/>
      <c r="E74" s="66"/>
      <c r="G74" s="42"/>
      <c r="H74" s="76" t="s">
        <v>3</v>
      </c>
      <c r="I74" s="76"/>
      <c r="J74" s="84" t="s">
        <v>52</v>
      </c>
      <c r="K74" s="84"/>
      <c r="M74" s="59"/>
      <c r="N74" s="93"/>
      <c r="O74" s="69"/>
      <c r="P74" s="93"/>
      <c r="Q74" s="93"/>
      <c r="R74" s="69"/>
    </row>
    <row r="75" spans="1:18" ht="16" customHeight="1" thickBot="1" x14ac:dyDescent="0.25">
      <c r="A75" s="18" t="s">
        <v>81</v>
      </c>
      <c r="B75" s="19"/>
      <c r="C75" s="19"/>
      <c r="D75" s="19"/>
      <c r="E75" s="20"/>
      <c r="M75" s="59"/>
      <c r="N75" s="93"/>
      <c r="O75" s="69"/>
      <c r="P75" s="93"/>
      <c r="Q75" s="93"/>
      <c r="R75" s="69"/>
    </row>
    <row r="76" spans="1:18" ht="16" customHeight="1" x14ac:dyDescent="0.2">
      <c r="A76" s="94"/>
      <c r="B76" s="71" t="s">
        <v>3</v>
      </c>
      <c r="C76" s="72"/>
      <c r="D76" s="71" t="s">
        <v>53</v>
      </c>
      <c r="E76" s="72"/>
      <c r="M76" s="59"/>
      <c r="N76" s="93"/>
      <c r="O76" s="69"/>
      <c r="P76" s="93"/>
      <c r="Q76" s="93"/>
      <c r="R76" s="69"/>
    </row>
    <row r="77" spans="1:18" x14ac:dyDescent="0.2">
      <c r="A77" s="51" t="s">
        <v>61</v>
      </c>
      <c r="B77" s="97">
        <v>8.3000000000000004E-2</v>
      </c>
      <c r="C77" s="97"/>
      <c r="D77" s="97">
        <v>0.25</v>
      </c>
      <c r="E77" s="97"/>
      <c r="M77" s="59"/>
      <c r="N77" s="59"/>
      <c r="O77" s="59"/>
      <c r="P77" s="59"/>
      <c r="Q77" s="59"/>
      <c r="R77" s="59"/>
    </row>
    <row r="78" spans="1:18" x14ac:dyDescent="0.2">
      <c r="A78" s="1" t="s">
        <v>62</v>
      </c>
      <c r="B78" s="97">
        <v>8.3000000000000004E-2</v>
      </c>
      <c r="C78" s="97"/>
      <c r="D78" s="97">
        <v>8.3000000000000004E-2</v>
      </c>
      <c r="E78" s="97"/>
      <c r="M78" s="59"/>
      <c r="N78" s="93"/>
      <c r="O78" s="69"/>
      <c r="P78" s="93"/>
      <c r="Q78" s="93"/>
      <c r="R78" s="69"/>
    </row>
    <row r="79" spans="1:18" ht="17" thickBot="1" x14ac:dyDescent="0.25">
      <c r="H79" s="77" t="s">
        <v>48</v>
      </c>
      <c r="I79" s="78"/>
      <c r="J79" s="78"/>
      <c r="K79" s="78"/>
      <c r="L79" s="79"/>
      <c r="M79" s="59"/>
      <c r="N79" s="93"/>
      <c r="O79" s="69"/>
      <c r="P79" s="93"/>
      <c r="Q79" s="93"/>
      <c r="R79" s="69"/>
    </row>
    <row r="80" spans="1:18" ht="17" thickBot="1" x14ac:dyDescent="0.25">
      <c r="A80" s="18" t="s">
        <v>80</v>
      </c>
      <c r="B80" s="19"/>
      <c r="C80" s="19"/>
      <c r="D80" s="19"/>
      <c r="E80" s="20"/>
      <c r="H80" s="76" t="s">
        <v>3</v>
      </c>
      <c r="I80" s="76"/>
      <c r="J80" s="84" t="s">
        <v>52</v>
      </c>
      <c r="K80" s="84"/>
      <c r="L80" s="80"/>
      <c r="M80" s="86"/>
      <c r="N80" s="86"/>
      <c r="O80" s="86"/>
      <c r="P80" s="86"/>
      <c r="Q80" s="86"/>
      <c r="R80" s="86"/>
    </row>
    <row r="81" spans="1:18" x14ac:dyDescent="0.2">
      <c r="A81" s="94"/>
      <c r="B81" s="71" t="s">
        <v>3</v>
      </c>
      <c r="C81" s="72"/>
      <c r="D81" s="71" t="s">
        <v>53</v>
      </c>
      <c r="E81" s="72"/>
      <c r="G81" s="1" t="s">
        <v>49</v>
      </c>
      <c r="H81" s="30" t="s">
        <v>50</v>
      </c>
      <c r="I81" s="1" t="s">
        <v>48</v>
      </c>
      <c r="J81" s="1" t="s">
        <v>50</v>
      </c>
      <c r="K81" s="1" t="s">
        <v>48</v>
      </c>
      <c r="L81" s="56" t="s">
        <v>51</v>
      </c>
      <c r="M81" s="69"/>
      <c r="N81" s="69"/>
      <c r="O81" s="69"/>
      <c r="P81" s="87"/>
      <c r="Q81" s="87"/>
      <c r="R81" s="87"/>
    </row>
    <row r="82" spans="1:18" x14ac:dyDescent="0.2">
      <c r="A82" s="51" t="s">
        <v>61</v>
      </c>
      <c r="B82" s="97" t="s">
        <v>63</v>
      </c>
      <c r="C82" s="97"/>
      <c r="D82" s="97">
        <v>0.25</v>
      </c>
      <c r="E82" s="97"/>
      <c r="G82" s="1">
        <f>1+G5</f>
        <v>1</v>
      </c>
      <c r="H82" s="81">
        <f>B30-I82</f>
        <v>48271.872000000003</v>
      </c>
      <c r="I82" s="81">
        <f>$B$30*L82</f>
        <v>8048.1279999999997</v>
      </c>
      <c r="J82" s="81">
        <f>D30-K82</f>
        <v>170134.35</v>
      </c>
      <c r="K82" s="81">
        <f>$D$30*L82</f>
        <v>28365.65</v>
      </c>
      <c r="L82" s="82">
        <v>0.1429</v>
      </c>
      <c r="M82" s="59"/>
      <c r="N82" s="93"/>
      <c r="O82" s="69"/>
      <c r="P82" s="93"/>
      <c r="Q82" s="93"/>
      <c r="R82" s="69"/>
    </row>
    <row r="83" spans="1:18" x14ac:dyDescent="0.2">
      <c r="A83" s="59" t="s">
        <v>71</v>
      </c>
      <c r="B83" s="50">
        <v>12000</v>
      </c>
      <c r="C83" s="50"/>
      <c r="D83" s="33" t="s">
        <v>63</v>
      </c>
      <c r="E83" s="33"/>
      <c r="G83" s="1">
        <f t="shared" ref="G83:G87" si="6">1+G82</f>
        <v>2</v>
      </c>
      <c r="H83" s="81">
        <f>H82-I83</f>
        <v>34479.104000000007</v>
      </c>
      <c r="I83" s="81">
        <f>$B$30*L83</f>
        <v>13792.768</v>
      </c>
      <c r="J83" s="81">
        <f>J82-K83</f>
        <v>121521.70000000001</v>
      </c>
      <c r="K83" s="81">
        <f t="shared" ref="K83:K89" si="7">$D$30*L83</f>
        <v>48612.65</v>
      </c>
      <c r="L83" s="82">
        <v>0.24490000000000001</v>
      </c>
      <c r="M83" s="59"/>
      <c r="N83" s="69"/>
      <c r="O83" s="69"/>
      <c r="P83" s="59"/>
      <c r="Q83" s="59"/>
      <c r="R83" s="59"/>
    </row>
    <row r="84" spans="1:18" x14ac:dyDescent="0.2">
      <c r="A84" s="59" t="s">
        <v>72</v>
      </c>
      <c r="B84" s="113" t="s">
        <v>63</v>
      </c>
      <c r="C84" s="62"/>
      <c r="D84" s="113">
        <v>40000</v>
      </c>
      <c r="E84" s="62"/>
      <c r="G84" s="1">
        <f t="shared" si="6"/>
        <v>3</v>
      </c>
      <c r="H84" s="81">
        <f>H83-I84</f>
        <v>24628.736000000004</v>
      </c>
      <c r="I84" s="81">
        <f>$B$30*L84</f>
        <v>9850.3680000000004</v>
      </c>
      <c r="J84" s="81">
        <f t="shared" ref="J84:J89" si="8">J83-K84</f>
        <v>86804.050000000017</v>
      </c>
      <c r="K84" s="81">
        <f t="shared" si="7"/>
        <v>34717.65</v>
      </c>
      <c r="L84" s="82">
        <v>0.1749</v>
      </c>
    </row>
    <row r="85" spans="1:18" x14ac:dyDescent="0.2">
      <c r="A85" s="59" t="s">
        <v>73</v>
      </c>
      <c r="B85" s="116">
        <v>0.03</v>
      </c>
      <c r="C85" s="117"/>
      <c r="D85" s="116">
        <v>0.03</v>
      </c>
      <c r="E85" s="117"/>
      <c r="G85" s="1">
        <f t="shared" si="6"/>
        <v>4</v>
      </c>
      <c r="H85" s="81">
        <f t="shared" ref="H85:H89" si="9">H84-I85</f>
        <v>17594.368000000006</v>
      </c>
      <c r="I85" s="81">
        <f>$B$30*L85</f>
        <v>7034.3679999999995</v>
      </c>
      <c r="J85" s="81">
        <f t="shared" si="8"/>
        <v>62011.400000000023</v>
      </c>
      <c r="K85" s="81">
        <f t="shared" si="7"/>
        <v>24792.649999999998</v>
      </c>
      <c r="L85" s="82">
        <v>0.1249</v>
      </c>
    </row>
    <row r="86" spans="1:18" x14ac:dyDescent="0.2">
      <c r="A86" s="59" t="s">
        <v>74</v>
      </c>
      <c r="B86" s="114">
        <v>6000</v>
      </c>
      <c r="C86" s="115"/>
      <c r="D86" s="114">
        <v>10000</v>
      </c>
      <c r="E86" s="115"/>
      <c r="G86" s="1">
        <f t="shared" si="6"/>
        <v>5</v>
      </c>
      <c r="H86" s="81">
        <f t="shared" si="9"/>
        <v>12564.992000000006</v>
      </c>
      <c r="I86" s="81">
        <f>$B$30*L86</f>
        <v>5029.3760000000002</v>
      </c>
      <c r="J86" s="81">
        <f t="shared" si="8"/>
        <v>44285.35000000002</v>
      </c>
      <c r="K86" s="81">
        <f t="shared" si="7"/>
        <v>17726.05</v>
      </c>
      <c r="L86" s="82">
        <v>8.9300000000000004E-2</v>
      </c>
    </row>
    <row r="87" spans="1:18" x14ac:dyDescent="0.2">
      <c r="G87" s="1">
        <f t="shared" si="6"/>
        <v>6</v>
      </c>
      <c r="H87" s="81">
        <f t="shared" si="9"/>
        <v>7541.248000000006</v>
      </c>
      <c r="I87" s="81">
        <f t="shared" ref="I87:I89" si="10">$B$30*L87</f>
        <v>5023.7439999999997</v>
      </c>
      <c r="J87" s="81">
        <f t="shared" si="8"/>
        <v>26579.15000000002</v>
      </c>
      <c r="K87" s="81">
        <f t="shared" si="7"/>
        <v>17706.2</v>
      </c>
      <c r="L87" s="82">
        <v>8.9200000000000002E-2</v>
      </c>
    </row>
    <row r="88" spans="1:18" x14ac:dyDescent="0.2">
      <c r="G88" s="1">
        <f>1+G87</f>
        <v>7</v>
      </c>
      <c r="H88" s="81">
        <f t="shared" si="9"/>
        <v>2511.8720000000058</v>
      </c>
      <c r="I88" s="81">
        <f t="shared" si="10"/>
        <v>5029.3760000000002</v>
      </c>
      <c r="J88" s="81">
        <f t="shared" si="8"/>
        <v>8853.1000000000204</v>
      </c>
      <c r="K88" s="81">
        <f t="shared" si="7"/>
        <v>17726.05</v>
      </c>
      <c r="L88" s="82">
        <v>8.9300000000000004E-2</v>
      </c>
    </row>
    <row r="89" spans="1:18" x14ac:dyDescent="0.2">
      <c r="G89" s="1">
        <v>8</v>
      </c>
      <c r="H89" s="81">
        <f t="shared" si="9"/>
        <v>5.9117155615240335E-12</v>
      </c>
      <c r="I89" s="81">
        <f t="shared" si="10"/>
        <v>2511.8719999999998</v>
      </c>
      <c r="J89" s="81">
        <f t="shared" si="8"/>
        <v>2.0008883439004421E-11</v>
      </c>
      <c r="K89" s="81">
        <f t="shared" si="7"/>
        <v>8853.1</v>
      </c>
      <c r="L89" s="82">
        <v>4.4600000000000001E-2</v>
      </c>
    </row>
    <row r="91" spans="1:18" ht="17" thickBot="1" x14ac:dyDescent="0.25"/>
    <row r="92" spans="1:18" ht="17" thickBot="1" x14ac:dyDescent="0.25">
      <c r="A92" s="106" t="s">
        <v>66</v>
      </c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8"/>
    </row>
    <row r="93" spans="1:18" ht="17" thickBot="1" x14ac:dyDescent="0.25">
      <c r="A93" s="136" t="s">
        <v>49</v>
      </c>
      <c r="B93" s="136">
        <v>0</v>
      </c>
      <c r="C93" s="136">
        <v>1</v>
      </c>
      <c r="D93" s="136">
        <f t="shared" ref="D93:K93" si="11">1+C93</f>
        <v>2</v>
      </c>
      <c r="E93" s="136">
        <f t="shared" si="11"/>
        <v>3</v>
      </c>
      <c r="F93" s="136">
        <f t="shared" si="11"/>
        <v>4</v>
      </c>
      <c r="G93" s="136">
        <f t="shared" si="11"/>
        <v>5</v>
      </c>
      <c r="H93" s="136">
        <f t="shared" si="11"/>
        <v>6</v>
      </c>
      <c r="I93" s="136">
        <f>1+H93</f>
        <v>7</v>
      </c>
      <c r="J93" s="136">
        <f t="shared" si="11"/>
        <v>8</v>
      </c>
      <c r="K93" s="136">
        <f t="shared" si="11"/>
        <v>9</v>
      </c>
      <c r="L93" s="136">
        <f>1+K93</f>
        <v>10</v>
      </c>
    </row>
    <row r="94" spans="1:18" ht="17" thickTop="1" x14ac:dyDescent="0.2">
      <c r="A94" s="42" t="s">
        <v>67</v>
      </c>
      <c r="B94" s="135" t="s">
        <v>63</v>
      </c>
      <c r="C94" s="135">
        <f>-H18*(1+$B$16)</f>
        <v>-29315.881485714282</v>
      </c>
      <c r="D94" s="135">
        <f>C94*(1+$B$16)</f>
        <v>-33713.263708571423</v>
      </c>
      <c r="E94" s="135">
        <f t="shared" ref="E94:K94" si="12">D94*(1+$B$16)</f>
        <v>-38770.253264857136</v>
      </c>
      <c r="F94" s="135">
        <f t="shared" si="12"/>
        <v>-44585.791254585703</v>
      </c>
      <c r="G94" s="135">
        <f t="shared" si="12"/>
        <v>-51273.659942773556</v>
      </c>
      <c r="H94" s="135">
        <f t="shared" si="12"/>
        <v>-58964.708934189584</v>
      </c>
      <c r="I94" s="135">
        <f t="shared" si="12"/>
        <v>-67809.415274318017</v>
      </c>
      <c r="J94" s="135">
        <f t="shared" si="12"/>
        <v>-77980.827565465719</v>
      </c>
      <c r="K94" s="135">
        <f t="shared" si="12"/>
        <v>-89677.951700285572</v>
      </c>
      <c r="L94" s="135">
        <f>K94*(1+$B$16)</f>
        <v>-103129.64445532839</v>
      </c>
    </row>
    <row r="95" spans="1:18" x14ac:dyDescent="0.2">
      <c r="A95" s="1" t="s">
        <v>48</v>
      </c>
      <c r="B95" s="110" t="s">
        <v>63</v>
      </c>
      <c r="C95" s="110">
        <v>8048.1279999999997</v>
      </c>
      <c r="D95" s="110">
        <v>13792.768</v>
      </c>
      <c r="E95" s="110">
        <v>9850.3680000000004</v>
      </c>
      <c r="F95" s="110">
        <v>7034.3679999999995</v>
      </c>
      <c r="G95" s="110">
        <v>5029.3760000000002</v>
      </c>
      <c r="H95" s="110">
        <v>5023.7439999999997</v>
      </c>
      <c r="I95" s="110">
        <v>5029.3760000000002</v>
      </c>
      <c r="J95" s="110">
        <v>2511.8719999999998</v>
      </c>
      <c r="K95" s="110">
        <v>0</v>
      </c>
      <c r="L95" s="110">
        <v>0</v>
      </c>
    </row>
    <row r="96" spans="1:18" x14ac:dyDescent="0.2">
      <c r="A96" s="1" t="s">
        <v>68</v>
      </c>
      <c r="B96" s="110" t="s">
        <v>63</v>
      </c>
      <c r="C96" s="110">
        <f>-(C94+C95)</f>
        <v>21267.753485714282</v>
      </c>
      <c r="D96" s="110">
        <f t="shared" ref="D96:K96" si="13">-(D94+D95)</f>
        <v>19920.495708571423</v>
      </c>
      <c r="E96" s="110">
        <f t="shared" si="13"/>
        <v>28919.885264857134</v>
      </c>
      <c r="F96" s="110">
        <f t="shared" si="13"/>
        <v>37551.423254585701</v>
      </c>
      <c r="G96" s="110">
        <f t="shared" si="13"/>
        <v>46244.28394277356</v>
      </c>
      <c r="H96" s="110">
        <f t="shared" si="13"/>
        <v>53940.964934189586</v>
      </c>
      <c r="I96" s="110">
        <f t="shared" si="13"/>
        <v>62780.039274318013</v>
      </c>
      <c r="J96" s="110">
        <f t="shared" si="13"/>
        <v>75468.955565465716</v>
      </c>
      <c r="K96" s="110">
        <f t="shared" si="13"/>
        <v>89677.951700285572</v>
      </c>
      <c r="L96" s="110">
        <f>-(L94+L95)</f>
        <v>103129.64445532839</v>
      </c>
    </row>
    <row r="97" spans="1:12" x14ac:dyDescent="0.2">
      <c r="A97" s="1" t="s">
        <v>69</v>
      </c>
      <c r="B97" s="110" t="s">
        <v>63</v>
      </c>
      <c r="C97" s="110">
        <f>C96*$B$17</f>
        <v>8507.1013942857135</v>
      </c>
      <c r="D97" s="110">
        <f t="shared" ref="D97:L97" si="14">D96*$B$17</f>
        <v>7968.19828342857</v>
      </c>
      <c r="E97" s="110">
        <f t="shared" si="14"/>
        <v>11567.954105942854</v>
      </c>
      <c r="F97" s="110">
        <f t="shared" si="14"/>
        <v>15020.569301834281</v>
      </c>
      <c r="G97" s="110">
        <f t="shared" si="14"/>
        <v>18497.713577109425</v>
      </c>
      <c r="H97" s="110">
        <f t="shared" si="14"/>
        <v>21576.385973675835</v>
      </c>
      <c r="I97" s="110">
        <f t="shared" si="14"/>
        <v>25112.015709727206</v>
      </c>
      <c r="J97" s="110">
        <f t="shared" si="14"/>
        <v>30187.582226186289</v>
      </c>
      <c r="K97" s="110">
        <f t="shared" si="14"/>
        <v>35871.18068011423</v>
      </c>
      <c r="L97" s="110">
        <f t="shared" si="14"/>
        <v>41251.857782131359</v>
      </c>
    </row>
    <row r="98" spans="1:12" x14ac:dyDescent="0.2">
      <c r="A98" s="1" t="s">
        <v>79</v>
      </c>
      <c r="B98" s="110">
        <f>-B30</f>
        <v>-56320</v>
      </c>
      <c r="C98" s="110">
        <f>C94+C97</f>
        <v>-20808.780091428569</v>
      </c>
      <c r="D98" s="110">
        <f>D94+D97</f>
        <v>-25745.065425142853</v>
      </c>
      <c r="E98" s="110">
        <f t="shared" ref="E98:L98" si="15">E94+E97</f>
        <v>-27202.299158914284</v>
      </c>
      <c r="F98" s="110">
        <f t="shared" si="15"/>
        <v>-29565.221952751424</v>
      </c>
      <c r="G98" s="110">
        <f t="shared" si="15"/>
        <v>-32775.946365664131</v>
      </c>
      <c r="H98" s="110">
        <f t="shared" si="15"/>
        <v>-37388.322960513746</v>
      </c>
      <c r="I98" s="110">
        <f t="shared" si="15"/>
        <v>-42697.399564590814</v>
      </c>
      <c r="J98" s="110">
        <f t="shared" si="15"/>
        <v>-47793.245339279427</v>
      </c>
      <c r="K98" s="110">
        <f t="shared" si="15"/>
        <v>-53806.771020171342</v>
      </c>
      <c r="L98" s="110">
        <f t="shared" si="15"/>
        <v>-61877.786673197035</v>
      </c>
    </row>
    <row r="99" spans="1:12" x14ac:dyDescent="0.2">
      <c r="A99" s="1" t="s">
        <v>70</v>
      </c>
      <c r="B99" s="111">
        <f>1/(1+$B$16)^B93</f>
        <v>1</v>
      </c>
      <c r="C99" s="111">
        <f>1/(1+$B$16)^C93</f>
        <v>0.86956521739130443</v>
      </c>
      <c r="D99" s="111">
        <f>1/(1+$B$16)^D93</f>
        <v>0.7561436672967865</v>
      </c>
      <c r="E99" s="111">
        <f>1/(1+$B$16)^E93</f>
        <v>0.65751623243198831</v>
      </c>
      <c r="F99" s="111">
        <f>1/(1+$B$16)^F93</f>
        <v>0.57175324559303342</v>
      </c>
      <c r="G99" s="111">
        <f>1/(1+$B$16)^G93</f>
        <v>0.49717673529828987</v>
      </c>
      <c r="H99" s="111">
        <f>1/(1+$B$16)^H93</f>
        <v>0.43232759591155645</v>
      </c>
      <c r="I99" s="111">
        <f>1/(1+$B$16)^I93</f>
        <v>0.37593703992309269</v>
      </c>
      <c r="J99" s="111">
        <f>1/(1+$B$16)^J93</f>
        <v>0.32690177384616753</v>
      </c>
      <c r="K99" s="111">
        <f>1/(1+$B$16)^K93</f>
        <v>0.28426241204014574</v>
      </c>
      <c r="L99" s="111">
        <f>1/(1+$B$16)^L93</f>
        <v>0.24718470612186585</v>
      </c>
    </row>
    <row r="100" spans="1:12" x14ac:dyDescent="0.2">
      <c r="A100" s="1" t="s">
        <v>65</v>
      </c>
      <c r="B100" s="81">
        <f>B98*B99</f>
        <v>-56320</v>
      </c>
      <c r="C100" s="81">
        <f t="shared" ref="C100:L100" si="16">C98*C99</f>
        <v>-18094.59138385093</v>
      </c>
      <c r="D100" s="81">
        <f t="shared" si="16"/>
        <v>-19466.968185363217</v>
      </c>
      <c r="E100" s="81">
        <f t="shared" si="16"/>
        <v>-17885.953256457164</v>
      </c>
      <c r="F100" s="81">
        <f t="shared" si="16"/>
        <v>-16904.01160816403</v>
      </c>
      <c r="G100" s="81">
        <f t="shared" si="16"/>
        <v>-16295.438010392741</v>
      </c>
      <c r="H100" s="81">
        <f t="shared" si="16"/>
        <v>-16164.003780683755</v>
      </c>
      <c r="I100" s="81">
        <f t="shared" si="16"/>
        <v>-16051.534004725818</v>
      </c>
      <c r="J100" s="81">
        <f t="shared" si="16"/>
        <v>-15623.696679275523</v>
      </c>
      <c r="K100" s="81">
        <f t="shared" si="16"/>
        <v>-15295.242514285719</v>
      </c>
      <c r="L100" s="81">
        <f t="shared" si="16"/>
        <v>-15295.242514285717</v>
      </c>
    </row>
    <row r="101" spans="1:12" x14ac:dyDescent="0.2">
      <c r="A101" s="59"/>
      <c r="B101" s="69"/>
      <c r="C101" s="69"/>
      <c r="D101" s="69"/>
      <c r="E101" s="69"/>
      <c r="F101" s="69"/>
      <c r="G101" s="69"/>
    </row>
    <row r="102" spans="1:12" x14ac:dyDescent="0.2">
      <c r="A102" s="59"/>
      <c r="B102" s="69"/>
      <c r="C102" s="69"/>
      <c r="D102" s="69"/>
      <c r="E102" s="69"/>
      <c r="F102" s="69"/>
      <c r="G102" s="69"/>
    </row>
    <row r="103" spans="1:12" x14ac:dyDescent="0.2">
      <c r="A103" s="134" t="s">
        <v>59</v>
      </c>
      <c r="B103" s="69"/>
      <c r="C103" s="69"/>
      <c r="D103" s="69"/>
      <c r="E103" s="69"/>
      <c r="F103" s="69"/>
      <c r="G103" s="69"/>
    </row>
    <row r="104" spans="1:12" x14ac:dyDescent="0.2">
      <c r="A104" s="81">
        <f>SUM(B100:L100)</f>
        <v>-223396.68193748462</v>
      </c>
      <c r="B104" s="69"/>
      <c r="C104" s="69"/>
      <c r="D104" s="69"/>
      <c r="E104" s="69"/>
      <c r="F104" s="69"/>
      <c r="G104" s="69"/>
    </row>
    <row r="105" spans="1:12" x14ac:dyDescent="0.2">
      <c r="A105" s="59"/>
      <c r="B105" s="69"/>
      <c r="E105" s="69"/>
      <c r="F105" s="69"/>
      <c r="G105" s="69"/>
    </row>
    <row r="106" spans="1:12" x14ac:dyDescent="0.2">
      <c r="A106" s="134" t="s">
        <v>82</v>
      </c>
      <c r="B106" s="69"/>
      <c r="E106" s="69"/>
      <c r="F106" s="69"/>
      <c r="G106" s="69"/>
    </row>
    <row r="107" spans="1:12" x14ac:dyDescent="0.2">
      <c r="A107" s="112">
        <f>-PMT(B16,L93,A104)</f>
        <v>-44512.249635628694</v>
      </c>
      <c r="B107" s="69"/>
      <c r="E107" s="32"/>
      <c r="F107" s="69"/>
      <c r="G107" s="69"/>
    </row>
    <row r="108" spans="1:12" x14ac:dyDescent="0.2">
      <c r="A108" s="54"/>
      <c r="B108" s="32"/>
      <c r="F108" s="32"/>
      <c r="G108" s="32"/>
    </row>
    <row r="111" spans="1:12" x14ac:dyDescent="0.2">
      <c r="A111" s="133" t="s">
        <v>83</v>
      </c>
      <c r="B111" s="133"/>
    </row>
    <row r="112" spans="1:12" x14ac:dyDescent="0.2">
      <c r="A112" s="131" t="s">
        <v>84</v>
      </c>
      <c r="B112" s="132">
        <v>0</v>
      </c>
    </row>
    <row r="113" spans="1:9" x14ac:dyDescent="0.2">
      <c r="A113" s="131" t="s">
        <v>85</v>
      </c>
      <c r="B113" s="132">
        <v>0</v>
      </c>
    </row>
    <row r="114" spans="1:9" x14ac:dyDescent="0.2">
      <c r="A114" s="131" t="s">
        <v>86</v>
      </c>
      <c r="B114" s="132">
        <v>0</v>
      </c>
    </row>
    <row r="117" spans="1:9" ht="17" thickBot="1" x14ac:dyDescent="0.25">
      <c r="B117" s="140" t="s">
        <v>88</v>
      </c>
      <c r="C117" s="140"/>
      <c r="D117" s="140"/>
      <c r="E117" s="140"/>
      <c r="F117" s="140"/>
      <c r="G117" s="140"/>
      <c r="H117" s="140"/>
    </row>
    <row r="118" spans="1:9" ht="17" thickBot="1" x14ac:dyDescent="0.25">
      <c r="A118" s="131" t="s">
        <v>84</v>
      </c>
      <c r="B118" s="137">
        <f>-0.3</f>
        <v>-0.3</v>
      </c>
      <c r="C118" s="137">
        <f>0.1+B118</f>
        <v>-0.19999999999999998</v>
      </c>
      <c r="D118" s="137">
        <f t="shared" ref="D118:H118" si="17">0.1+C118</f>
        <v>-9.9999999999999978E-2</v>
      </c>
      <c r="E118" s="137">
        <f t="shared" si="17"/>
        <v>0</v>
      </c>
      <c r="F118" s="137">
        <f t="shared" si="17"/>
        <v>0.1</v>
      </c>
      <c r="G118" s="137">
        <f t="shared" si="17"/>
        <v>0.2</v>
      </c>
      <c r="H118" s="137">
        <f t="shared" si="17"/>
        <v>0.30000000000000004</v>
      </c>
      <c r="I118" s="138" t="s">
        <v>87</v>
      </c>
    </row>
    <row r="119" spans="1:9" x14ac:dyDescent="0.2">
      <c r="A119" s="81">
        <f>$A$107</f>
        <v>-44512.249635628694</v>
      </c>
      <c r="B119" s="98">
        <f t="dataTable" ref="B119:H119" dt2D="0" dtr="1" r1="B112"/>
        <v>-36266.058063923585</v>
      </c>
      <c r="C119" s="98">
        <v>-39014.788587825293</v>
      </c>
      <c r="D119" s="98">
        <v>-41763.519111726993</v>
      </c>
      <c r="E119" s="98">
        <v>-44512.249635628694</v>
      </c>
      <c r="F119" s="98">
        <v>-47260.980159530394</v>
      </c>
      <c r="G119" s="98">
        <v>-50009.710683432095</v>
      </c>
      <c r="H119" s="98">
        <v>-52758.441207333788</v>
      </c>
      <c r="I119" s="139">
        <f>MAX(B119:H119)-MIN(B119:H119)</f>
        <v>16492.383143410203</v>
      </c>
    </row>
    <row r="122" spans="1:9" ht="17" thickBot="1" x14ac:dyDescent="0.25">
      <c r="A122" s="131" t="s">
        <v>85</v>
      </c>
      <c r="B122" s="137">
        <f>-0.3</f>
        <v>-0.3</v>
      </c>
      <c r="C122" s="137">
        <f>0.1+B122</f>
        <v>-0.19999999999999998</v>
      </c>
      <c r="D122" s="137">
        <f t="shared" ref="D122:H122" si="18">0.1+C122</f>
        <v>-9.9999999999999978E-2</v>
      </c>
      <c r="E122" s="137">
        <f t="shared" si="18"/>
        <v>0</v>
      </c>
      <c r="F122" s="137">
        <f t="shared" si="18"/>
        <v>0.1</v>
      </c>
      <c r="G122" s="137">
        <f t="shared" si="18"/>
        <v>0.2</v>
      </c>
      <c r="H122" s="137">
        <f t="shared" si="18"/>
        <v>0.30000000000000004</v>
      </c>
      <c r="I122" s="138" t="s">
        <v>87</v>
      </c>
    </row>
    <row r="123" spans="1:9" x14ac:dyDescent="0.2">
      <c r="A123" s="81">
        <f>$A$107</f>
        <v>-44512.249635628694</v>
      </c>
      <c r="B123" s="98">
        <f t="dataTable" ref="B123:H123" dt2D="0" dtr="1" r1="B113" ca="1"/>
        <v>-37330.234865249651</v>
      </c>
      <c r="C123" s="98">
        <v>-39724.239788709325</v>
      </c>
      <c r="D123" s="98">
        <v>-42118.244712169006</v>
      </c>
      <c r="E123" s="98">
        <v>-44512.249635628694</v>
      </c>
      <c r="F123" s="98">
        <v>-46906.254559088367</v>
      </c>
      <c r="G123" s="98">
        <v>-49300.259482548048</v>
      </c>
      <c r="H123" s="98">
        <v>-51694.264406007729</v>
      </c>
      <c r="I123" s="139">
        <f>MAX(B123:H123)-MIN(B123:H123)</f>
        <v>14364.029540758078</v>
      </c>
    </row>
    <row r="124" spans="1:9" x14ac:dyDescent="0.2">
      <c r="B124" s="109"/>
    </row>
    <row r="126" spans="1:9" ht="17" thickBot="1" x14ac:dyDescent="0.25">
      <c r="A126" s="131" t="s">
        <v>86</v>
      </c>
      <c r="B126" s="137">
        <f>-0.3</f>
        <v>-0.3</v>
      </c>
      <c r="C126" s="137">
        <f>0.1+B126</f>
        <v>-0.19999999999999998</v>
      </c>
      <c r="D126" s="137">
        <f t="shared" ref="D126:H126" si="19">0.1+C126</f>
        <v>-9.9999999999999978E-2</v>
      </c>
      <c r="E126" s="137">
        <f t="shared" si="19"/>
        <v>0</v>
      </c>
      <c r="F126" s="137">
        <f t="shared" si="19"/>
        <v>0.1</v>
      </c>
      <c r="G126" s="137">
        <f t="shared" si="19"/>
        <v>0.2</v>
      </c>
      <c r="H126" s="137">
        <f t="shared" si="19"/>
        <v>0.30000000000000004</v>
      </c>
      <c r="I126" s="138" t="s">
        <v>87</v>
      </c>
    </row>
    <row r="127" spans="1:9" x14ac:dyDescent="0.2">
      <c r="A127" s="81">
        <f>$A$107</f>
        <v>-44512.249635628694</v>
      </c>
      <c r="B127" s="98">
        <f t="dataTable" ref="B127:H127" dt2D="0" dtr="1" r1="B114" ca="1"/>
        <v>-43794.942210565387</v>
      </c>
      <c r="C127" s="98">
        <v>-44034.044685586487</v>
      </c>
      <c r="D127" s="98">
        <v>-44273.147160607587</v>
      </c>
      <c r="E127" s="98">
        <v>-44512.249635628694</v>
      </c>
      <c r="F127" s="98">
        <v>-44751.352110649801</v>
      </c>
      <c r="G127" s="98">
        <v>-44990.454585670894</v>
      </c>
      <c r="H127" s="98">
        <v>-45229.557060691986</v>
      </c>
      <c r="I127" s="139">
        <f>MAX(B127:H127)-MIN(B127:H127)</f>
        <v>1434.6148501265998</v>
      </c>
    </row>
    <row r="129" spans="1:9" x14ac:dyDescent="0.2">
      <c r="A129" s="54"/>
      <c r="B129" s="54"/>
      <c r="C129" s="54"/>
      <c r="D129" s="54"/>
      <c r="E129" s="54"/>
      <c r="F129" s="54"/>
      <c r="G129" s="54"/>
      <c r="H129" s="54"/>
      <c r="I129" s="54"/>
    </row>
    <row r="130" spans="1:9" x14ac:dyDescent="0.2">
      <c r="A130" s="25"/>
      <c r="B130" s="141"/>
      <c r="C130" s="141"/>
      <c r="D130" s="141"/>
      <c r="E130" s="141"/>
      <c r="F130" s="141"/>
      <c r="G130" s="141"/>
      <c r="H130" s="141"/>
      <c r="I130" s="54"/>
    </row>
    <row r="131" spans="1:9" ht="17" thickBot="1" x14ac:dyDescent="0.25">
      <c r="B131" s="140" t="s">
        <v>88</v>
      </c>
      <c r="C131" s="140"/>
      <c r="D131" s="140"/>
      <c r="E131" s="140"/>
      <c r="F131" s="140"/>
      <c r="G131" s="140"/>
      <c r="H131" s="140"/>
    </row>
    <row r="132" spans="1:9" ht="17" thickBot="1" x14ac:dyDescent="0.25">
      <c r="B132" s="137">
        <f>-0.3</f>
        <v>-0.3</v>
      </c>
      <c r="C132" s="137">
        <f>0.1+B132</f>
        <v>-0.19999999999999998</v>
      </c>
      <c r="D132" s="137">
        <f t="shared" ref="D132:H132" si="20">0.1+C132</f>
        <v>-9.9999999999999978E-2</v>
      </c>
      <c r="E132" s="137">
        <f t="shared" si="20"/>
        <v>0</v>
      </c>
      <c r="F132" s="137">
        <f t="shared" si="20"/>
        <v>0.1</v>
      </c>
      <c r="G132" s="137">
        <f t="shared" si="20"/>
        <v>0.2</v>
      </c>
      <c r="H132" s="137">
        <f t="shared" si="20"/>
        <v>0.30000000000000004</v>
      </c>
      <c r="I132" s="138" t="s">
        <v>87</v>
      </c>
    </row>
    <row r="133" spans="1:9" x14ac:dyDescent="0.2">
      <c r="A133" s="142" t="s">
        <v>84</v>
      </c>
      <c r="B133" s="98">
        <v>-36266.058063923585</v>
      </c>
      <c r="C133" s="98">
        <v>-39014.788587825293</v>
      </c>
      <c r="D133" s="98">
        <v>-41763.519111726993</v>
      </c>
      <c r="E133" s="98">
        <v>-44512.249635628694</v>
      </c>
      <c r="F133" s="98">
        <v>-47260.980159530394</v>
      </c>
      <c r="G133" s="98">
        <v>-50009.710683432095</v>
      </c>
      <c r="H133" s="98">
        <v>-52758.441207333788</v>
      </c>
      <c r="I133" s="139">
        <f>MAX(B133:H133)-MIN(B133:H133)</f>
        <v>16492.383143410203</v>
      </c>
    </row>
    <row r="134" spans="1:9" x14ac:dyDescent="0.2">
      <c r="A134" s="142" t="s">
        <v>85</v>
      </c>
      <c r="B134" s="98">
        <v>-37330.234865249651</v>
      </c>
      <c r="C134" s="98">
        <v>-39724.239788709325</v>
      </c>
      <c r="D134" s="98">
        <v>-42118.244712169006</v>
      </c>
      <c r="E134" s="98">
        <v>-44512.249635628694</v>
      </c>
      <c r="F134" s="98">
        <v>-46906.254559088367</v>
      </c>
      <c r="G134" s="98">
        <v>-49300.259482548048</v>
      </c>
      <c r="H134" s="98">
        <v>-51694.264406007729</v>
      </c>
      <c r="I134" s="139">
        <f>MAX(B134:H134)-MIN(B134:H134)</f>
        <v>14364.029540758078</v>
      </c>
    </row>
    <row r="135" spans="1:9" x14ac:dyDescent="0.2">
      <c r="A135" s="142" t="s">
        <v>86</v>
      </c>
      <c r="B135" s="98">
        <v>-43794.942210565387</v>
      </c>
      <c r="C135" s="98">
        <v>-44034.044685586487</v>
      </c>
      <c r="D135" s="98">
        <v>-44273.147160607587</v>
      </c>
      <c r="E135" s="98">
        <v>-44512.249635628694</v>
      </c>
      <c r="F135" s="98">
        <v>-44751.352110649801</v>
      </c>
      <c r="G135" s="98">
        <v>-44990.454585670894</v>
      </c>
      <c r="H135" s="98">
        <v>-45229.557060691986</v>
      </c>
      <c r="I135" s="139">
        <f>MAX(B135:H135)-MIN(B135:H135)</f>
        <v>1434.6148501265998</v>
      </c>
    </row>
    <row r="136" spans="1:9" x14ac:dyDescent="0.2">
      <c r="A136" s="54"/>
      <c r="B136" s="54"/>
      <c r="C136" s="54"/>
      <c r="D136" s="54"/>
      <c r="E136" s="54"/>
      <c r="F136" s="54"/>
      <c r="G136" s="54"/>
      <c r="H136" s="54"/>
      <c r="I136" s="54"/>
    </row>
    <row r="137" spans="1:9" x14ac:dyDescent="0.2">
      <c r="A137" s="54"/>
      <c r="B137" s="54"/>
      <c r="C137" s="54"/>
      <c r="D137" s="54"/>
      <c r="E137" s="54"/>
      <c r="F137" s="54"/>
      <c r="G137" s="54"/>
      <c r="H137" s="54"/>
      <c r="I137" s="54"/>
    </row>
    <row r="138" spans="1:9" x14ac:dyDescent="0.2">
      <c r="A138" s="54"/>
      <c r="B138" s="54"/>
      <c r="C138" s="54"/>
      <c r="D138" s="54"/>
      <c r="E138" s="54"/>
      <c r="F138" s="54"/>
      <c r="G138" s="54"/>
      <c r="H138" s="54"/>
      <c r="I138" s="54"/>
    </row>
  </sheetData>
  <mergeCells count="140">
    <mergeCell ref="A111:B111"/>
    <mergeCell ref="B117:H117"/>
    <mergeCell ref="B131:H131"/>
    <mergeCell ref="H22:I22"/>
    <mergeCell ref="J22:K22"/>
    <mergeCell ref="B84:C84"/>
    <mergeCell ref="D84:E84"/>
    <mergeCell ref="H71:I71"/>
    <mergeCell ref="G47:M47"/>
    <mergeCell ref="B82:C82"/>
    <mergeCell ref="D82:E82"/>
    <mergeCell ref="A80:E80"/>
    <mergeCell ref="B81:C81"/>
    <mergeCell ref="D81:E81"/>
    <mergeCell ref="A92:L92"/>
    <mergeCell ref="B85:C85"/>
    <mergeCell ref="D85:E85"/>
    <mergeCell ref="B86:C86"/>
    <mergeCell ref="D86:E86"/>
    <mergeCell ref="B78:C78"/>
    <mergeCell ref="D78:E78"/>
    <mergeCell ref="D83:E83"/>
    <mergeCell ref="B83:C83"/>
    <mergeCell ref="A75:E75"/>
    <mergeCell ref="B76:C76"/>
    <mergeCell ref="D76:E76"/>
    <mergeCell ref="B77:C77"/>
    <mergeCell ref="D77:E77"/>
    <mergeCell ref="H74:I74"/>
    <mergeCell ref="J74:K74"/>
    <mergeCell ref="G73:K73"/>
    <mergeCell ref="N57:O57"/>
    <mergeCell ref="N58:O58"/>
    <mergeCell ref="N59:O59"/>
    <mergeCell ref="N60:O65"/>
    <mergeCell ref="H48:J48"/>
    <mergeCell ref="H79:L79"/>
    <mergeCell ref="H80:I80"/>
    <mergeCell ref="J80:K80"/>
    <mergeCell ref="M21:Q21"/>
    <mergeCell ref="G21:K21"/>
    <mergeCell ref="N42:O42"/>
    <mergeCell ref="J17:K17"/>
    <mergeCell ref="J18:K18"/>
    <mergeCell ref="A70:E70"/>
    <mergeCell ref="B71:C71"/>
    <mergeCell ref="D71:E71"/>
    <mergeCell ref="N22:O22"/>
    <mergeCell ref="P22:Q22"/>
    <mergeCell ref="H12:I12"/>
    <mergeCell ref="H13:I13"/>
    <mergeCell ref="H14:I14"/>
    <mergeCell ref="H15:I15"/>
    <mergeCell ref="H16:I16"/>
    <mergeCell ref="H17:I17"/>
    <mergeCell ref="J12:K12"/>
    <mergeCell ref="H18:I18"/>
    <mergeCell ref="J13:K13"/>
    <mergeCell ref="G10:K10"/>
    <mergeCell ref="H11:I11"/>
    <mergeCell ref="J11:K11"/>
    <mergeCell ref="B72:C72"/>
    <mergeCell ref="D72:E72"/>
    <mergeCell ref="B67:C67"/>
    <mergeCell ref="D67:E67"/>
    <mergeCell ref="B64:C64"/>
    <mergeCell ref="D64:E64"/>
    <mergeCell ref="B66:C66"/>
    <mergeCell ref="D66:E66"/>
    <mergeCell ref="B65:C65"/>
    <mergeCell ref="D65:E65"/>
    <mergeCell ref="B60:C60"/>
    <mergeCell ref="D60:E60"/>
    <mergeCell ref="B61:C61"/>
    <mergeCell ref="D61:E61"/>
    <mergeCell ref="B58:C58"/>
    <mergeCell ref="D58:E58"/>
    <mergeCell ref="B63:C63"/>
    <mergeCell ref="D63:E63"/>
    <mergeCell ref="B59:C59"/>
    <mergeCell ref="D59:E59"/>
    <mergeCell ref="B50:C50"/>
    <mergeCell ref="D50:E50"/>
    <mergeCell ref="B51:C51"/>
    <mergeCell ref="D51:E51"/>
    <mergeCell ref="B52:C52"/>
    <mergeCell ref="D52:E52"/>
    <mergeCell ref="B32:C32"/>
    <mergeCell ref="D32:E32"/>
    <mergeCell ref="B33:C33"/>
    <mergeCell ref="D33:E33"/>
    <mergeCell ref="B34:C34"/>
    <mergeCell ref="D34:E34"/>
    <mergeCell ref="A28:E28"/>
    <mergeCell ref="B29:C29"/>
    <mergeCell ref="D29:E29"/>
    <mergeCell ref="B31:C31"/>
    <mergeCell ref="D31:E31"/>
    <mergeCell ref="D30:E30"/>
    <mergeCell ref="B30:C30"/>
    <mergeCell ref="D39:E39"/>
    <mergeCell ref="B40:C40"/>
    <mergeCell ref="D40:E40"/>
    <mergeCell ref="B41:C41"/>
    <mergeCell ref="D41:E41"/>
    <mergeCell ref="B57:C57"/>
    <mergeCell ref="D57:E57"/>
    <mergeCell ref="B62:C62"/>
    <mergeCell ref="D62:E62"/>
    <mergeCell ref="A20:A21"/>
    <mergeCell ref="B20:B21"/>
    <mergeCell ref="A36:E36"/>
    <mergeCell ref="B37:C37"/>
    <mergeCell ref="D37:E37"/>
    <mergeCell ref="B38:C38"/>
    <mergeCell ref="D38:E38"/>
    <mergeCell ref="B39:C39"/>
    <mergeCell ref="A55:E55"/>
    <mergeCell ref="B42:C42"/>
    <mergeCell ref="D42:E42"/>
    <mergeCell ref="B43:C43"/>
    <mergeCell ref="D43:E43"/>
    <mergeCell ref="B45:C45"/>
    <mergeCell ref="D45:E45"/>
    <mergeCell ref="A47:E47"/>
    <mergeCell ref="B48:C48"/>
    <mergeCell ref="D48:E48"/>
    <mergeCell ref="B49:C49"/>
    <mergeCell ref="D49:E49"/>
    <mergeCell ref="D56:E56"/>
    <mergeCell ref="A1:D3"/>
    <mergeCell ref="A9:D12"/>
    <mergeCell ref="A4:D8"/>
    <mergeCell ref="J14:K14"/>
    <mergeCell ref="J15:K15"/>
    <mergeCell ref="J16:K16"/>
    <mergeCell ref="A15:B15"/>
    <mergeCell ref="A18:A19"/>
    <mergeCell ref="B18:B19"/>
    <mergeCell ref="B56:C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Warren</dc:creator>
  <cp:lastModifiedBy>Evan Warren</cp:lastModifiedBy>
  <dcterms:created xsi:type="dcterms:W3CDTF">2025-12-05T23:42:22Z</dcterms:created>
  <dcterms:modified xsi:type="dcterms:W3CDTF">2025-12-11T02:19:19Z</dcterms:modified>
</cp:coreProperties>
</file>