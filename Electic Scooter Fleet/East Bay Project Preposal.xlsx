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dawgsmac/LocalFiles/P_Path/Job Search/Project Portfolio/Electic Scooter Fleet/"/>
    </mc:Choice>
  </mc:AlternateContent>
  <xr:revisionPtr revIDLastSave="0" documentId="13_ncr:1_{411DF8F8-D5B4-9C46-A600-3D4547F60252}" xr6:coauthVersionLast="47" xr6:coauthVersionMax="47" xr10:uidLastSave="{00000000-0000-0000-0000-000000000000}"/>
  <bookViews>
    <workbookView xWindow="-3180" yWindow="-21000" windowWidth="40560" windowHeight="21000" activeTab="7" xr2:uid="{4E1F7FCE-C5AE-4A76-87F8-0DC26954148D}"/>
  </bookViews>
  <sheets>
    <sheet name="Project Details" sheetId="1" r:id="rId1"/>
    <sheet name="Maintenance" sheetId="2" r:id="rId2"/>
    <sheet name="Usability" sheetId="4" r:id="rId3"/>
    <sheet name="Electicity" sheetId="8" r:id="rId4"/>
    <sheet name="Shipping" sheetId="5" r:id="rId5"/>
    <sheet name="CR Finance Options" sheetId="7" r:id="rId6"/>
    <sheet name="Revenue" sheetId="9" r:id="rId7"/>
    <sheet name="Cashflow" sheetId="3" r:id="rId8"/>
    <sheet name="Annual Cashflow" sheetId="12" r:id="rId9"/>
    <sheet name="PROJECT ANALYSIS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" i="12" l="1"/>
  <c r="D5" i="12" s="1"/>
  <c r="D6" i="12" s="1"/>
  <c r="D3" i="12"/>
  <c r="D2" i="12"/>
  <c r="C6" i="12"/>
  <c r="C5" i="12"/>
  <c r="C4" i="12"/>
  <c r="C3" i="12"/>
  <c r="C2" i="12"/>
  <c r="B6" i="12"/>
  <c r="B5" i="12"/>
  <c r="B4" i="12"/>
  <c r="B3" i="12"/>
  <c r="B2" i="12"/>
  <c r="L2" i="3"/>
  <c r="A4" i="12"/>
  <c r="A5" i="12" s="1"/>
  <c r="A6" i="12" s="1"/>
  <c r="A3" i="12"/>
  <c r="K15" i="7"/>
  <c r="C2" i="3"/>
  <c r="E4" i="11"/>
  <c r="F4" i="11" s="1"/>
  <c r="G4" i="11" s="1"/>
  <c r="H4" i="11" s="1"/>
  <c r="I4" i="11" s="1"/>
  <c r="J4" i="11" s="1"/>
  <c r="K4" i="11" s="1"/>
  <c r="C6" i="11"/>
  <c r="C7" i="11" s="1"/>
  <c r="C8" i="11" s="1"/>
  <c r="C9" i="11" s="1"/>
  <c r="C10" i="11" s="1"/>
  <c r="C11" i="11" s="1"/>
  <c r="C12" i="11" s="1"/>
  <c r="C13" i="11" s="1"/>
  <c r="C14" i="11" s="1"/>
  <c r="C15" i="11" s="1"/>
  <c r="H6" i="9"/>
  <c r="H7" i="9" s="1"/>
  <c r="H5" i="9"/>
  <c r="C10" i="4"/>
  <c r="B4" i="9" s="1"/>
  <c r="D4" i="9"/>
  <c r="H8" i="9" l="1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E39" i="3"/>
  <c r="F3" i="3"/>
  <c r="F4" i="3"/>
  <c r="F5" i="3"/>
  <c r="F6" i="3"/>
  <c r="F7" i="3"/>
  <c r="F8" i="3"/>
  <c r="F9" i="3"/>
  <c r="F10" i="3"/>
  <c r="F11" i="3"/>
  <c r="F12" i="3"/>
  <c r="F13" i="3"/>
  <c r="F15" i="3"/>
  <c r="F16" i="3"/>
  <c r="F17" i="3"/>
  <c r="F18" i="3"/>
  <c r="F19" i="3"/>
  <c r="F20" i="3"/>
  <c r="F21" i="3"/>
  <c r="F22" i="3"/>
  <c r="F23" i="3"/>
  <c r="F24" i="3"/>
  <c r="F25" i="3"/>
  <c r="F27" i="3"/>
  <c r="F28" i="3"/>
  <c r="F29" i="3"/>
  <c r="F30" i="3"/>
  <c r="F31" i="3"/>
  <c r="F32" i="3"/>
  <c r="F33" i="3"/>
  <c r="F34" i="3"/>
  <c r="F35" i="3"/>
  <c r="F36" i="3"/>
  <c r="F37" i="3"/>
  <c r="F39" i="3"/>
  <c r="F40" i="3"/>
  <c r="F41" i="3"/>
  <c r="F42" i="3"/>
  <c r="F43" i="3"/>
  <c r="F44" i="3"/>
  <c r="F45" i="3"/>
  <c r="F46" i="3"/>
  <c r="F47" i="3"/>
  <c r="F48" i="3"/>
  <c r="F49" i="3"/>
  <c r="F51" i="3"/>
  <c r="F52" i="3"/>
  <c r="F53" i="3"/>
  <c r="F54" i="3"/>
  <c r="F55" i="3"/>
  <c r="F56" i="3"/>
  <c r="F57" i="3"/>
  <c r="F58" i="3"/>
  <c r="F59" i="3"/>
  <c r="F60" i="3"/>
  <c r="F61" i="3"/>
  <c r="J3" i="3"/>
  <c r="J4" i="3"/>
  <c r="J5" i="3"/>
  <c r="J6" i="3"/>
  <c r="J7" i="3"/>
  <c r="J8" i="3"/>
  <c r="J9" i="3"/>
  <c r="J10" i="3"/>
  <c r="J11" i="3"/>
  <c r="J12" i="3"/>
  <c r="J13" i="3"/>
  <c r="J15" i="3"/>
  <c r="J16" i="3"/>
  <c r="J17" i="3"/>
  <c r="J18" i="3"/>
  <c r="J19" i="3"/>
  <c r="J20" i="3"/>
  <c r="J21" i="3"/>
  <c r="J22" i="3"/>
  <c r="J23" i="3"/>
  <c r="J24" i="3"/>
  <c r="J25" i="3"/>
  <c r="J27" i="3"/>
  <c r="J28" i="3"/>
  <c r="J29" i="3"/>
  <c r="J30" i="3"/>
  <c r="J31" i="3"/>
  <c r="J32" i="3"/>
  <c r="J33" i="3"/>
  <c r="J34" i="3"/>
  <c r="J35" i="3"/>
  <c r="J36" i="3"/>
  <c r="J37" i="3"/>
  <c r="J39" i="3"/>
  <c r="J40" i="3"/>
  <c r="J41" i="3"/>
  <c r="J42" i="3"/>
  <c r="J43" i="3"/>
  <c r="J44" i="3"/>
  <c r="J45" i="3"/>
  <c r="J46" i="3"/>
  <c r="J47" i="3"/>
  <c r="J48" i="3"/>
  <c r="J49" i="3"/>
  <c r="J51" i="3"/>
  <c r="J52" i="3"/>
  <c r="J53" i="3"/>
  <c r="J54" i="3"/>
  <c r="J55" i="3"/>
  <c r="J56" i="3"/>
  <c r="J57" i="3"/>
  <c r="J58" i="3"/>
  <c r="J59" i="3"/>
  <c r="J60" i="3"/>
  <c r="J61" i="3"/>
  <c r="A3" i="3"/>
  <c r="A4" i="3"/>
  <c r="A5" i="3"/>
  <c r="A6" i="3"/>
  <c r="A7" i="3"/>
  <c r="A8" i="3"/>
  <c r="E8" i="3" s="1"/>
  <c r="A9" i="3"/>
  <c r="E9" i="3" s="1"/>
  <c r="A10" i="3"/>
  <c r="E10" i="3" s="1"/>
  <c r="A11" i="3"/>
  <c r="A12" i="3"/>
  <c r="A13" i="3"/>
  <c r="A14" i="3"/>
  <c r="A15" i="3"/>
  <c r="A16" i="3"/>
  <c r="A17" i="3"/>
  <c r="E17" i="3" s="1"/>
  <c r="A18" i="3"/>
  <c r="E18" i="3" s="1"/>
  <c r="A19" i="3"/>
  <c r="E19" i="3" s="1"/>
  <c r="A20" i="3"/>
  <c r="A21" i="3"/>
  <c r="A22" i="3"/>
  <c r="A23" i="3"/>
  <c r="A24" i="3"/>
  <c r="A25" i="3"/>
  <c r="A26" i="3"/>
  <c r="A27" i="3"/>
  <c r="A28" i="3"/>
  <c r="E28" i="3" s="1"/>
  <c r="A29" i="3"/>
  <c r="E29" i="3" s="1"/>
  <c r="A30" i="3"/>
  <c r="E30" i="3" s="1"/>
  <c r="A31" i="3"/>
  <c r="A32" i="3"/>
  <c r="A33" i="3"/>
  <c r="A34" i="3"/>
  <c r="A35" i="3"/>
  <c r="A36" i="3"/>
  <c r="A37" i="3"/>
  <c r="E37" i="3" s="1"/>
  <c r="A38" i="3"/>
  <c r="F38" i="3" s="1"/>
  <c r="A39" i="3"/>
  <c r="A40" i="3"/>
  <c r="A41" i="3"/>
  <c r="A42" i="3"/>
  <c r="A43" i="3"/>
  <c r="A44" i="3"/>
  <c r="A45" i="3"/>
  <c r="A46" i="3"/>
  <c r="A47" i="3"/>
  <c r="A48" i="3"/>
  <c r="E48" i="3" s="1"/>
  <c r="A49" i="3"/>
  <c r="E49" i="3" s="1"/>
  <c r="A50" i="3"/>
  <c r="E50" i="3" s="1"/>
  <c r="A51" i="3"/>
  <c r="A52" i="3"/>
  <c r="A53" i="3"/>
  <c r="A54" i="3"/>
  <c r="A55" i="3"/>
  <c r="A56" i="3"/>
  <c r="A57" i="3"/>
  <c r="E57" i="3" s="1"/>
  <c r="A58" i="3"/>
  <c r="E58" i="3" s="1"/>
  <c r="A59" i="3"/>
  <c r="E59" i="3" s="1"/>
  <c r="A60" i="3"/>
  <c r="A61" i="3"/>
  <c r="A62" i="3"/>
  <c r="A2" i="3"/>
  <c r="E2" i="3" s="1"/>
  <c r="B3" i="8"/>
  <c r="C21" i="4"/>
  <c r="C6" i="4"/>
  <c r="C18" i="4"/>
  <c r="C14" i="4"/>
  <c r="C7" i="7"/>
  <c r="C6" i="7"/>
  <c r="C5" i="7"/>
  <c r="C4" i="7"/>
  <c r="C3" i="7"/>
  <c r="C2" i="7"/>
  <c r="C12" i="5"/>
  <c r="E12" i="5" s="1"/>
  <c r="C10" i="5"/>
  <c r="E10" i="5" s="1"/>
  <c r="C11" i="5"/>
  <c r="E11" i="5" s="1"/>
  <c r="C3" i="5"/>
  <c r="E3" i="5" s="1"/>
  <c r="E13" i="5" s="1"/>
  <c r="W3" i="2"/>
  <c r="V5" i="2"/>
  <c r="V4" i="2"/>
  <c r="W4" i="2"/>
  <c r="W5" i="2"/>
  <c r="G5" i="2"/>
  <c r="H5" i="2" s="1"/>
  <c r="G6" i="2"/>
  <c r="H6" i="2" s="1"/>
  <c r="G7" i="2"/>
  <c r="H7" i="2" s="1"/>
  <c r="G8" i="2"/>
  <c r="H8" i="2" s="1"/>
  <c r="G9" i="2"/>
  <c r="H9" i="2" s="1"/>
  <c r="G4" i="2"/>
  <c r="H4" i="2" s="1"/>
  <c r="F10" i="2"/>
  <c r="C25" i="2"/>
  <c r="C8" i="1"/>
  <c r="E38" i="3" l="1"/>
  <c r="E56" i="3"/>
  <c r="E36" i="3"/>
  <c r="E16" i="3"/>
  <c r="E21" i="3"/>
  <c r="E52" i="3"/>
  <c r="E32" i="3"/>
  <c r="E12" i="3"/>
  <c r="E61" i="3"/>
  <c r="E51" i="3"/>
  <c r="E41" i="3"/>
  <c r="E31" i="3"/>
  <c r="E11" i="3"/>
  <c r="F26" i="3"/>
  <c r="F14" i="3"/>
  <c r="E47" i="3"/>
  <c r="E27" i="3"/>
  <c r="E7" i="3"/>
  <c r="E62" i="3"/>
  <c r="E42" i="3"/>
  <c r="E22" i="3"/>
  <c r="F50" i="3"/>
  <c r="E46" i="3"/>
  <c r="E26" i="3"/>
  <c r="E6" i="3"/>
  <c r="E60" i="3"/>
  <c r="E40" i="3"/>
  <c r="E20" i="3"/>
  <c r="C15" i="4"/>
  <c r="C16" i="4" s="1"/>
  <c r="I4" i="4" s="1"/>
  <c r="C4" i="9"/>
  <c r="E4" i="9" s="1"/>
  <c r="J38" i="3" s="1"/>
  <c r="E55" i="3"/>
  <c r="E45" i="3"/>
  <c r="E35" i="3"/>
  <c r="E25" i="3"/>
  <c r="E15" i="3"/>
  <c r="E5" i="3"/>
  <c r="E54" i="3"/>
  <c r="E44" i="3"/>
  <c r="E34" i="3"/>
  <c r="E24" i="3"/>
  <c r="E14" i="3"/>
  <c r="E4" i="3"/>
  <c r="F2" i="3"/>
  <c r="E53" i="3"/>
  <c r="E43" i="3"/>
  <c r="E33" i="3"/>
  <c r="E23" i="3"/>
  <c r="E13" i="3"/>
  <c r="E3" i="3"/>
  <c r="H3" i="5"/>
  <c r="F14" i="1"/>
  <c r="G14" i="1" s="1"/>
  <c r="F15" i="1"/>
  <c r="G15" i="1" s="1"/>
  <c r="F13" i="1"/>
  <c r="G13" i="1" s="1"/>
  <c r="F11" i="1"/>
  <c r="G11" i="1" s="1"/>
  <c r="F16" i="1"/>
  <c r="G16" i="1" s="1"/>
  <c r="C9" i="5" s="1"/>
  <c r="E9" i="5" s="1"/>
  <c r="F12" i="1"/>
  <c r="G12" i="1" s="1"/>
  <c r="G10" i="2"/>
  <c r="C8" i="2" s="1"/>
  <c r="H10" i="2"/>
  <c r="B2" i="8" l="1"/>
  <c r="B4" i="8" s="1"/>
  <c r="B6" i="8" s="1"/>
  <c r="B10" i="8" s="1"/>
  <c r="G14" i="2"/>
  <c r="B8" i="9"/>
  <c r="E8" i="9" s="1"/>
  <c r="J50" i="3"/>
  <c r="J14" i="3"/>
  <c r="J2" i="3"/>
  <c r="J26" i="3"/>
  <c r="I3" i="4"/>
  <c r="I5" i="4"/>
  <c r="C20" i="4"/>
  <c r="C22" i="4" s="1"/>
  <c r="C5" i="5"/>
  <c r="E5" i="5" s="1"/>
  <c r="H5" i="5" s="1"/>
  <c r="C4" i="5"/>
  <c r="E4" i="5" s="1"/>
  <c r="H4" i="5" s="1"/>
  <c r="H9" i="5"/>
  <c r="C6" i="5"/>
  <c r="E6" i="5" s="1"/>
  <c r="H6" i="5" s="1"/>
  <c r="H11" i="5"/>
  <c r="C8" i="5"/>
  <c r="E8" i="5" s="1"/>
  <c r="H8" i="5" s="1"/>
  <c r="H10" i="5"/>
  <c r="C7" i="5"/>
  <c r="E7" i="5" s="1"/>
  <c r="H7" i="5" s="1"/>
  <c r="I13" i="1"/>
  <c r="I16" i="1"/>
  <c r="H12" i="5"/>
  <c r="I11" i="1"/>
  <c r="I14" i="1"/>
  <c r="I15" i="1"/>
  <c r="I12" i="1"/>
  <c r="M2" i="3" l="1"/>
  <c r="I4" i="3"/>
  <c r="M4" i="3" s="1"/>
  <c r="I14" i="3"/>
  <c r="M14" i="3" s="1"/>
  <c r="I24" i="3"/>
  <c r="M24" i="3" s="1"/>
  <c r="I34" i="3"/>
  <c r="M34" i="3" s="1"/>
  <c r="I44" i="3"/>
  <c r="M44" i="3" s="1"/>
  <c r="I54" i="3"/>
  <c r="M54" i="3" s="1"/>
  <c r="I16" i="3"/>
  <c r="M16" i="3" s="1"/>
  <c r="I26" i="3"/>
  <c r="M26" i="3" s="1"/>
  <c r="I36" i="3"/>
  <c r="M36" i="3" s="1"/>
  <c r="I46" i="3"/>
  <c r="M46" i="3" s="1"/>
  <c r="I56" i="3"/>
  <c r="M56" i="3" s="1"/>
  <c r="I7" i="3"/>
  <c r="M7" i="3" s="1"/>
  <c r="I27" i="3"/>
  <c r="M27" i="3" s="1"/>
  <c r="I37" i="3"/>
  <c r="M37" i="3" s="1"/>
  <c r="I8" i="3"/>
  <c r="M8" i="3" s="1"/>
  <c r="I38" i="3"/>
  <c r="M38" i="3" s="1"/>
  <c r="I29" i="3"/>
  <c r="M29" i="3" s="1"/>
  <c r="I49" i="3"/>
  <c r="M49" i="3" s="1"/>
  <c r="I20" i="3"/>
  <c r="M20" i="3" s="1"/>
  <c r="I40" i="3"/>
  <c r="M40" i="3" s="1"/>
  <c r="I11" i="3"/>
  <c r="M11" i="3" s="1"/>
  <c r="I41" i="3"/>
  <c r="M41" i="3" s="1"/>
  <c r="I32" i="3"/>
  <c r="M32" i="3" s="1"/>
  <c r="I62" i="3"/>
  <c r="M62" i="3" s="1"/>
  <c r="I23" i="3"/>
  <c r="M23" i="3" s="1"/>
  <c r="I43" i="3"/>
  <c r="M43" i="3" s="1"/>
  <c r="I5" i="3"/>
  <c r="M5" i="3" s="1"/>
  <c r="I15" i="3"/>
  <c r="M15" i="3" s="1"/>
  <c r="I25" i="3"/>
  <c r="M25" i="3" s="1"/>
  <c r="I35" i="3"/>
  <c r="M35" i="3" s="1"/>
  <c r="I45" i="3"/>
  <c r="M45" i="3" s="1"/>
  <c r="I55" i="3"/>
  <c r="M55" i="3" s="1"/>
  <c r="I17" i="3"/>
  <c r="M17" i="3" s="1"/>
  <c r="I47" i="3"/>
  <c r="M47" i="3" s="1"/>
  <c r="I18" i="3"/>
  <c r="M18" i="3" s="1"/>
  <c r="I58" i="3"/>
  <c r="M58" i="3" s="1"/>
  <c r="I19" i="3"/>
  <c r="M19" i="3" s="1"/>
  <c r="I59" i="3"/>
  <c r="M59" i="3" s="1"/>
  <c r="I10" i="3"/>
  <c r="M10" i="3" s="1"/>
  <c r="I50" i="3"/>
  <c r="M50" i="3" s="1"/>
  <c r="I21" i="3"/>
  <c r="M21" i="3" s="1"/>
  <c r="I51" i="3"/>
  <c r="M51" i="3" s="1"/>
  <c r="I12" i="3"/>
  <c r="M12" i="3" s="1"/>
  <c r="I52" i="3"/>
  <c r="M52" i="3" s="1"/>
  <c r="I13" i="3"/>
  <c r="M13" i="3" s="1"/>
  <c r="I33" i="3"/>
  <c r="M33" i="3" s="1"/>
  <c r="I53" i="3"/>
  <c r="M53" i="3" s="1"/>
  <c r="I6" i="3"/>
  <c r="M6" i="3" s="1"/>
  <c r="I57" i="3"/>
  <c r="M57" i="3" s="1"/>
  <c r="I28" i="3"/>
  <c r="M28" i="3" s="1"/>
  <c r="I48" i="3"/>
  <c r="M48" i="3" s="1"/>
  <c r="I9" i="3"/>
  <c r="M9" i="3" s="1"/>
  <c r="I39" i="3"/>
  <c r="M39" i="3" s="1"/>
  <c r="I30" i="3"/>
  <c r="M30" i="3" s="1"/>
  <c r="I60" i="3"/>
  <c r="M60" i="3" s="1"/>
  <c r="I31" i="3"/>
  <c r="M31" i="3" s="1"/>
  <c r="I61" i="3"/>
  <c r="M61" i="3" s="1"/>
  <c r="I42" i="3"/>
  <c r="M42" i="3" s="1"/>
  <c r="I22" i="3"/>
  <c r="M22" i="3" s="1"/>
  <c r="I3" i="3"/>
  <c r="M3" i="3" s="1"/>
  <c r="G17" i="2"/>
  <c r="G18" i="2"/>
  <c r="G20" i="2"/>
  <c r="G19" i="2"/>
  <c r="G16" i="2"/>
  <c r="F21" i="2"/>
  <c r="I4" i="9"/>
  <c r="I5" i="9"/>
  <c r="I6" i="9"/>
  <c r="I7" i="9"/>
  <c r="I8" i="9"/>
  <c r="D11" i="3"/>
  <c r="D21" i="3"/>
  <c r="D31" i="3"/>
  <c r="D41" i="3"/>
  <c r="D51" i="3"/>
  <c r="D61" i="3"/>
  <c r="D25" i="3"/>
  <c r="D16" i="3"/>
  <c r="D17" i="3"/>
  <c r="D12" i="3"/>
  <c r="D22" i="3"/>
  <c r="D32" i="3"/>
  <c r="D42" i="3"/>
  <c r="D52" i="3"/>
  <c r="D62" i="3"/>
  <c r="D15" i="3"/>
  <c r="D55" i="3"/>
  <c r="D26" i="3"/>
  <c r="D56" i="3"/>
  <c r="D37" i="3"/>
  <c r="D13" i="3"/>
  <c r="D23" i="3"/>
  <c r="D33" i="3"/>
  <c r="D43" i="3"/>
  <c r="D53" i="3"/>
  <c r="D3" i="3"/>
  <c r="D35" i="3"/>
  <c r="D36" i="3"/>
  <c r="D27" i="3"/>
  <c r="D48" i="3"/>
  <c r="D4" i="3"/>
  <c r="D14" i="3"/>
  <c r="D24" i="3"/>
  <c r="D34" i="3"/>
  <c r="D44" i="3"/>
  <c r="D54" i="3"/>
  <c r="D57" i="3"/>
  <c r="D45" i="3"/>
  <c r="D6" i="3"/>
  <c r="D7" i="3"/>
  <c r="D8" i="3"/>
  <c r="D18" i="3"/>
  <c r="D28" i="3"/>
  <c r="D38" i="3"/>
  <c r="D9" i="3"/>
  <c r="D19" i="3"/>
  <c r="D29" i="3"/>
  <c r="D39" i="3"/>
  <c r="D49" i="3"/>
  <c r="D59" i="3"/>
  <c r="D10" i="3"/>
  <c r="D20" i="3"/>
  <c r="D30" i="3"/>
  <c r="D40" i="3"/>
  <c r="D50" i="3"/>
  <c r="D60" i="3"/>
  <c r="D5" i="3"/>
  <c r="D46" i="3"/>
  <c r="D47" i="3"/>
  <c r="D58" i="3"/>
  <c r="H13" i="5"/>
  <c r="C9" i="7" s="1"/>
  <c r="C13" i="5"/>
  <c r="I17" i="1"/>
  <c r="C8" i="7" s="1"/>
  <c r="C6" i="2"/>
  <c r="H19" i="2" l="1"/>
  <c r="C21" i="5"/>
  <c r="E21" i="5" s="1"/>
  <c r="H21" i="5" s="1"/>
  <c r="H17" i="2"/>
  <c r="C19" i="5"/>
  <c r="E19" i="5" s="1"/>
  <c r="H19" i="5" s="1"/>
  <c r="C20" i="5"/>
  <c r="E20" i="5" s="1"/>
  <c r="H20" i="5" s="1"/>
  <c r="H18" i="2"/>
  <c r="H20" i="2"/>
  <c r="C22" i="5"/>
  <c r="E22" i="5" s="1"/>
  <c r="H22" i="5" s="1"/>
  <c r="G21" i="2"/>
  <c r="H16" i="2"/>
  <c r="C18" i="5"/>
  <c r="C10" i="7"/>
  <c r="D18" i="7" s="1"/>
  <c r="H63" i="7" s="1"/>
  <c r="D17" i="7"/>
  <c r="D16" i="7"/>
  <c r="H3" i="7"/>
  <c r="K3" i="7"/>
  <c r="K2" i="3" s="1"/>
  <c r="N3" i="7"/>
  <c r="N2" i="3" l="1"/>
  <c r="H21" i="2"/>
  <c r="G24" i="2" s="1"/>
  <c r="E18" i="5"/>
  <c r="C9" i="2"/>
  <c r="C23" i="5"/>
  <c r="E23" i="5" s="1"/>
  <c r="H23" i="5" s="1"/>
  <c r="K37" i="7"/>
  <c r="C36" i="3" s="1"/>
  <c r="K34" i="7"/>
  <c r="C33" i="3" s="1"/>
  <c r="K36" i="7"/>
  <c r="C35" i="3" s="1"/>
  <c r="K35" i="7"/>
  <c r="C34" i="3" s="1"/>
  <c r="K38" i="7"/>
  <c r="C37" i="3" s="1"/>
  <c r="K39" i="7"/>
  <c r="C38" i="3" s="1"/>
  <c r="N4" i="7"/>
  <c r="N14" i="7"/>
  <c r="N15" i="7"/>
  <c r="N11" i="7"/>
  <c r="N5" i="7"/>
  <c r="N10" i="7"/>
  <c r="N8" i="7"/>
  <c r="N12" i="7"/>
  <c r="N6" i="7"/>
  <c r="N13" i="7"/>
  <c r="N7" i="7"/>
  <c r="N9" i="7"/>
  <c r="H8" i="7"/>
  <c r="H19" i="7"/>
  <c r="H24" i="7"/>
  <c r="H29" i="7"/>
  <c r="H34" i="7"/>
  <c r="H44" i="7"/>
  <c r="H54" i="7"/>
  <c r="H37" i="7"/>
  <c r="H47" i="7"/>
  <c r="H57" i="7"/>
  <c r="H21" i="7"/>
  <c r="H13" i="7"/>
  <c r="H49" i="7"/>
  <c r="H17" i="7"/>
  <c r="H32" i="7"/>
  <c r="H50" i="7"/>
  <c r="H7" i="7"/>
  <c r="H51" i="7"/>
  <c r="H23" i="7"/>
  <c r="H33" i="7"/>
  <c r="H62" i="7"/>
  <c r="H5" i="7"/>
  <c r="H15" i="7"/>
  <c r="H35" i="7"/>
  <c r="H45" i="7"/>
  <c r="H55" i="7"/>
  <c r="H31" i="7"/>
  <c r="H58" i="7"/>
  <c r="H59" i="7"/>
  <c r="H10" i="7"/>
  <c r="H22" i="7"/>
  <c r="H60" i="7"/>
  <c r="H42" i="7"/>
  <c r="H12" i="7"/>
  <c r="H20" i="7"/>
  <c r="H25" i="7"/>
  <c r="H30" i="7"/>
  <c r="H36" i="7"/>
  <c r="H46" i="7"/>
  <c r="H56" i="7"/>
  <c r="H9" i="7"/>
  <c r="H6" i="7"/>
  <c r="H16" i="7"/>
  <c r="H26" i="7"/>
  <c r="H38" i="7"/>
  <c r="H48" i="7"/>
  <c r="H27" i="7"/>
  <c r="H11" i="7"/>
  <c r="H43" i="7"/>
  <c r="H53" i="7"/>
  <c r="H39" i="7"/>
  <c r="H40" i="7"/>
  <c r="H41" i="7"/>
  <c r="H61" i="7"/>
  <c r="H4" i="7"/>
  <c r="H14" i="7"/>
  <c r="H18" i="7"/>
  <c r="H28" i="7"/>
  <c r="H52" i="7"/>
  <c r="K11" i="7"/>
  <c r="C10" i="3" s="1"/>
  <c r="K12" i="7"/>
  <c r="C11" i="3" s="1"/>
  <c r="K20" i="7"/>
  <c r="C19" i="3" s="1"/>
  <c r="K25" i="7"/>
  <c r="C24" i="3" s="1"/>
  <c r="K30" i="7"/>
  <c r="C29" i="3" s="1"/>
  <c r="K16" i="7"/>
  <c r="C15" i="3" s="1"/>
  <c r="K31" i="7"/>
  <c r="C30" i="3" s="1"/>
  <c r="K27" i="7"/>
  <c r="C26" i="3" s="1"/>
  <c r="K7" i="7"/>
  <c r="C6" i="3" s="1"/>
  <c r="K8" i="7"/>
  <c r="C7" i="3" s="1"/>
  <c r="K19" i="7"/>
  <c r="C18" i="3" s="1"/>
  <c r="K24" i="7"/>
  <c r="C23" i="3" s="1"/>
  <c r="K29" i="7"/>
  <c r="C28" i="3" s="1"/>
  <c r="K6" i="7"/>
  <c r="C5" i="3" s="1"/>
  <c r="K21" i="7"/>
  <c r="C20" i="3" s="1"/>
  <c r="K26" i="7"/>
  <c r="C25" i="3" s="1"/>
  <c r="K5" i="7"/>
  <c r="C4" i="3" s="1"/>
  <c r="C14" i="3"/>
  <c r="K9" i="7"/>
  <c r="C8" i="3" s="1"/>
  <c r="K4" i="7"/>
  <c r="C3" i="3" s="1"/>
  <c r="K14" i="7"/>
  <c r="C13" i="3" s="1"/>
  <c r="K18" i="7"/>
  <c r="C17" i="3" s="1"/>
  <c r="K23" i="7"/>
  <c r="C22" i="3" s="1"/>
  <c r="K28" i="7"/>
  <c r="C27" i="3" s="1"/>
  <c r="K33" i="7"/>
  <c r="C32" i="3" s="1"/>
  <c r="K13" i="7"/>
  <c r="C12" i="3" s="1"/>
  <c r="K10" i="7"/>
  <c r="C9" i="3" s="1"/>
  <c r="K17" i="7"/>
  <c r="C16" i="3" s="1"/>
  <c r="K22" i="7"/>
  <c r="C21" i="3" s="1"/>
  <c r="K32" i="7"/>
  <c r="C31" i="3" s="1"/>
  <c r="C7" i="2" l="1"/>
  <c r="C10" i="2"/>
  <c r="C11" i="2" s="1"/>
  <c r="G25" i="2" s="1"/>
  <c r="H50" i="3" s="1"/>
  <c r="C24" i="5"/>
  <c r="H18" i="5"/>
  <c r="H24" i="5" s="1"/>
  <c r="E24" i="5"/>
  <c r="N64" i="7"/>
  <c r="E16" i="7" s="1"/>
  <c r="H64" i="7"/>
  <c r="E18" i="7" s="1"/>
  <c r="K64" i="7"/>
  <c r="E17" i="7" s="1"/>
  <c r="H57" i="3" l="1"/>
  <c r="H10" i="3"/>
  <c r="H35" i="3"/>
  <c r="H34" i="3"/>
  <c r="H44" i="3"/>
  <c r="H54" i="3"/>
  <c r="H26" i="3"/>
  <c r="H14" i="3"/>
  <c r="H47" i="3"/>
  <c r="H52" i="3"/>
  <c r="H36" i="3"/>
  <c r="H56" i="3"/>
  <c r="H9" i="3"/>
  <c r="H16" i="3"/>
  <c r="H42" i="3"/>
  <c r="H7" i="3"/>
  <c r="H30" i="3"/>
  <c r="H53" i="3"/>
  <c r="H25" i="3"/>
  <c r="H48" i="3"/>
  <c r="H37" i="3"/>
  <c r="H41" i="3"/>
  <c r="H15" i="3"/>
  <c r="H28" i="3"/>
  <c r="H49" i="3"/>
  <c r="H3" i="3"/>
  <c r="H43" i="3"/>
  <c r="H51" i="3"/>
  <c r="H60" i="3"/>
  <c r="H62" i="3"/>
  <c r="H40" i="3"/>
  <c r="H33" i="3"/>
  <c r="H58" i="3"/>
  <c r="H23" i="3"/>
  <c r="H11" i="3"/>
  <c r="H27" i="3"/>
  <c r="H5" i="3"/>
  <c r="H61" i="3"/>
  <c r="H45" i="3"/>
  <c r="H32" i="3"/>
  <c r="H8" i="3"/>
  <c r="H46" i="3"/>
  <c r="H19" i="3"/>
  <c r="H24" i="3"/>
  <c r="H4" i="3"/>
  <c r="H22" i="3"/>
  <c r="H55" i="3"/>
  <c r="H18" i="3"/>
  <c r="H29" i="3"/>
  <c r="H13" i="3"/>
  <c r="G26" i="2"/>
  <c r="H6" i="3"/>
  <c r="H20" i="3"/>
  <c r="H38" i="3"/>
  <c r="H39" i="3"/>
  <c r="H59" i="3"/>
  <c r="H17" i="3"/>
  <c r="H21" i="3"/>
  <c r="H31" i="3"/>
  <c r="H12" i="3"/>
  <c r="G48" i="3"/>
  <c r="G51" i="3"/>
  <c r="G40" i="3"/>
  <c r="G55" i="3"/>
  <c r="G52" i="3"/>
  <c r="G34" i="3"/>
  <c r="G58" i="3"/>
  <c r="G5" i="3"/>
  <c r="G15" i="3"/>
  <c r="G28" i="3"/>
  <c r="G14" i="3"/>
  <c r="G13" i="3"/>
  <c r="G17" i="3"/>
  <c r="G60" i="3"/>
  <c r="G23" i="3"/>
  <c r="G7" i="3"/>
  <c r="G49" i="3"/>
  <c r="G42" i="3"/>
  <c r="G36" i="3"/>
  <c r="G41" i="3"/>
  <c r="G54" i="3"/>
  <c r="G61" i="3"/>
  <c r="G57" i="3"/>
  <c r="G59" i="3"/>
  <c r="G4" i="3"/>
  <c r="G8" i="3"/>
  <c r="G3" i="3"/>
  <c r="G53" i="3"/>
  <c r="G30" i="3"/>
  <c r="G46" i="3"/>
  <c r="G12" i="3"/>
  <c r="G18" i="3"/>
  <c r="G6" i="3"/>
  <c r="G35" i="3"/>
  <c r="G20" i="3"/>
  <c r="G25" i="3"/>
  <c r="G31" i="3"/>
  <c r="G62" i="3"/>
  <c r="G21" i="3"/>
  <c r="G45" i="3"/>
  <c r="G47" i="3"/>
  <c r="G39" i="3"/>
  <c r="G32" i="3"/>
  <c r="G50" i="3"/>
  <c r="G44" i="3"/>
  <c r="G10" i="3"/>
  <c r="G37" i="3"/>
  <c r="G33" i="3"/>
  <c r="G56" i="3"/>
  <c r="G38" i="3"/>
  <c r="G22" i="3"/>
  <c r="G24" i="3"/>
  <c r="G11" i="3"/>
  <c r="G9" i="3"/>
  <c r="G43" i="3"/>
  <c r="G29" i="3"/>
  <c r="G27" i="3"/>
  <c r="G16" i="3"/>
  <c r="G19" i="3"/>
  <c r="G26" i="3"/>
  <c r="E22" i="7"/>
  <c r="L26" i="3" l="1"/>
  <c r="L46" i="3"/>
  <c r="L41" i="3"/>
  <c r="L28" i="3"/>
  <c r="L53" i="3"/>
  <c r="L38" i="3"/>
  <c r="L36" i="3"/>
  <c r="L5" i="3"/>
  <c r="L27" i="3"/>
  <c r="L58" i="3"/>
  <c r="L9" i="3"/>
  <c r="L19" i="3"/>
  <c r="L15" i="3"/>
  <c r="L62" i="3"/>
  <c r="L49" i="3"/>
  <c r="L23" i="3"/>
  <c r="L35" i="3"/>
  <c r="L16" i="3"/>
  <c r="L42" i="3"/>
  <c r="L44" i="3"/>
  <c r="L6" i="3"/>
  <c r="L57" i="3"/>
  <c r="L21" i="3"/>
  <c r="L30" i="3"/>
  <c r="L34" i="3"/>
  <c r="L45" i="3"/>
  <c r="L29" i="3"/>
  <c r="K50" i="3"/>
  <c r="L50" i="3"/>
  <c r="K56" i="3"/>
  <c r="L56" i="3"/>
  <c r="L31" i="3"/>
  <c r="K3" i="3"/>
  <c r="L3" i="3"/>
  <c r="K10" i="3"/>
  <c r="L10" i="3"/>
  <c r="K8" i="3"/>
  <c r="L8" i="3"/>
  <c r="K4" i="3"/>
  <c r="L4" i="3"/>
  <c r="L60" i="3"/>
  <c r="L18" i="3"/>
  <c r="L13" i="3"/>
  <c r="L51" i="3"/>
  <c r="K33" i="3"/>
  <c r="L33" i="3"/>
  <c r="K37" i="3"/>
  <c r="L37" i="3"/>
  <c r="L25" i="3"/>
  <c r="K7" i="3"/>
  <c r="L7" i="3"/>
  <c r="L43" i="3"/>
  <c r="K20" i="3"/>
  <c r="L20" i="3"/>
  <c r="L52" i="3"/>
  <c r="L59" i="3"/>
  <c r="L55" i="3"/>
  <c r="L11" i="3"/>
  <c r="L32" i="3"/>
  <c r="L17" i="3"/>
  <c r="K40" i="3"/>
  <c r="L40" i="3"/>
  <c r="L24" i="3"/>
  <c r="L39" i="3"/>
  <c r="L61" i="3"/>
  <c r="L22" i="3"/>
  <c r="L47" i="3"/>
  <c r="L12" i="3"/>
  <c r="L54" i="3"/>
  <c r="L14" i="3"/>
  <c r="L48" i="3"/>
  <c r="K47" i="3"/>
  <c r="K15" i="3"/>
  <c r="K19" i="3"/>
  <c r="K16" i="3"/>
  <c r="K44" i="3"/>
  <c r="K23" i="3"/>
  <c r="K42" i="3"/>
  <c r="K5" i="3"/>
  <c r="K34" i="3"/>
  <c r="K27" i="3"/>
  <c r="K49" i="3"/>
  <c r="K58" i="3"/>
  <c r="K9" i="3"/>
  <c r="K35" i="3"/>
  <c r="K36" i="3"/>
  <c r="K32" i="3"/>
  <c r="K6" i="3"/>
  <c r="K57" i="3"/>
  <c r="K62" i="3"/>
  <c r="K13" i="3"/>
  <c r="K12" i="3"/>
  <c r="K48" i="3"/>
  <c r="K25" i="3"/>
  <c r="K31" i="3"/>
  <c r="K29" i="3"/>
  <c r="K21" i="3"/>
  <c r="K30" i="3"/>
  <c r="K52" i="3"/>
  <c r="K60" i="3"/>
  <c r="K11" i="3"/>
  <c r="K39" i="3"/>
  <c r="K51" i="3"/>
  <c r="K59" i="3"/>
  <c r="K54" i="3"/>
  <c r="K53" i="3"/>
  <c r="K43" i="3"/>
  <c r="K55" i="3"/>
  <c r="K17" i="3"/>
  <c r="K24" i="3"/>
  <c r="K18" i="3"/>
  <c r="K61" i="3"/>
  <c r="K22" i="3"/>
  <c r="K14" i="3"/>
  <c r="K26" i="3"/>
  <c r="K38" i="3"/>
  <c r="K45" i="3"/>
  <c r="K46" i="3"/>
  <c r="K41" i="3"/>
  <c r="K28" i="3"/>
  <c r="N13" i="3" l="1"/>
  <c r="N3" i="3"/>
  <c r="N7" i="3"/>
  <c r="N4" i="3"/>
  <c r="N26" i="3"/>
  <c r="N62" i="3"/>
  <c r="N8" i="3"/>
  <c r="N12" i="3"/>
  <c r="N11" i="3"/>
  <c r="N14" i="3"/>
  <c r="N9" i="3"/>
  <c r="N49" i="3"/>
  <c r="N32" i="3"/>
  <c r="N54" i="3"/>
  <c r="N5" i="3"/>
  <c r="N42" i="3"/>
  <c r="N45" i="3"/>
  <c r="N25" i="3"/>
  <c r="N22" i="3"/>
  <c r="N21" i="3"/>
  <c r="N20" i="3"/>
  <c r="N39" i="3"/>
  <c r="N61" i="3"/>
  <c r="N40" i="3"/>
  <c r="N35" i="3"/>
  <c r="N23" i="3"/>
  <c r="N59" i="3"/>
  <c r="N31" i="3"/>
  <c r="N19" i="3"/>
  <c r="N17" i="3"/>
  <c r="N48" i="3"/>
  <c r="N51" i="3"/>
  <c r="N37" i="3"/>
  <c r="N15" i="3"/>
  <c r="N58" i="3"/>
  <c r="N18" i="3"/>
  <c r="N46" i="3"/>
  <c r="N56" i="3"/>
  <c r="N6" i="3"/>
  <c r="N24" i="3"/>
  <c r="N29" i="3"/>
  <c r="N38" i="3"/>
  <c r="N30" i="3"/>
  <c r="N52" i="3"/>
  <c r="N55" i="3"/>
  <c r="N27" i="3"/>
  <c r="N41" i="3"/>
  <c r="N53" i="3"/>
  <c r="N10" i="3"/>
  <c r="N33" i="3"/>
  <c r="N44" i="3"/>
  <c r="N34" i="3"/>
  <c r="N16" i="3"/>
  <c r="N36" i="3"/>
  <c r="N43" i="3"/>
  <c r="N47" i="3"/>
  <c r="N50" i="3"/>
  <c r="N57" i="3"/>
  <c r="N28" i="3"/>
  <c r="N60" i="3"/>
  <c r="R5" i="3"/>
  <c r="C4" i="11" s="1"/>
  <c r="R6" i="3" l="1"/>
</calcChain>
</file>

<file path=xl/sharedStrings.xml><?xml version="1.0" encoding="utf-8"?>
<sst xmlns="http://schemas.openxmlformats.org/spreadsheetml/2006/main" count="299" uniqueCount="217">
  <si>
    <t>Cost</t>
  </si>
  <si>
    <t>Assumption</t>
  </si>
  <si>
    <t>Mass Order Discount</t>
  </si>
  <si>
    <t>Units</t>
  </si>
  <si>
    <t>Total Cost</t>
  </si>
  <si>
    <t>Battery (Wh)</t>
  </si>
  <si>
    <t>Range (mi)</t>
  </si>
  <si>
    <t>Charge Time (hr)</t>
  </si>
  <si>
    <t>$</t>
  </si>
  <si>
    <t>Capital Costs</t>
  </si>
  <si>
    <t>Month</t>
  </si>
  <si>
    <t>Total</t>
  </si>
  <si>
    <t>5 Year Finance (25% Down)</t>
  </si>
  <si>
    <t>1 Year Finance (25% Down)</t>
  </si>
  <si>
    <t>Employees</t>
  </si>
  <si>
    <t>Labor Cost</t>
  </si>
  <si>
    <t>Salary/Each</t>
  </si>
  <si>
    <t>Tires</t>
  </si>
  <si>
    <t>Batteries</t>
  </si>
  <si>
    <t>Frame</t>
  </si>
  <si>
    <t>Brakes</t>
  </si>
  <si>
    <t>Parts Costs</t>
  </si>
  <si>
    <t>Lights</t>
  </si>
  <si>
    <t>Electric</t>
  </si>
  <si>
    <t>Outsource $/Year</t>
  </si>
  <si>
    <t>Hourly</t>
  </si>
  <si>
    <t>Total Time (hr)</t>
  </si>
  <si>
    <t>Reliability</t>
  </si>
  <si>
    <t>Overall</t>
  </si>
  <si>
    <t>Type</t>
  </si>
  <si>
    <t># Repairs</t>
  </si>
  <si>
    <t>MTTR Corrective(hr)</t>
  </si>
  <si>
    <t>MTTR Preventative(hr)</t>
  </si>
  <si>
    <t>MTBF Corrective (hr)</t>
  </si>
  <si>
    <t>JOBS Corrective</t>
  </si>
  <si>
    <t>MTBR Preventative (hr)</t>
  </si>
  <si>
    <r>
      <rPr>
        <sz val="11"/>
        <color theme="1"/>
        <rFont val="Aptos Narrow"/>
        <family val="2"/>
      </rPr>
      <t xml:space="preserve">∑ </t>
    </r>
    <r>
      <rPr>
        <sz val="11"/>
        <color theme="1"/>
        <rFont val="Aptos Narrow"/>
        <family val="2"/>
        <scheme val="minor"/>
      </rPr>
      <t>Replacements</t>
    </r>
  </si>
  <si>
    <t>JOBS Prevantative</t>
  </si>
  <si>
    <t>Year</t>
  </si>
  <si>
    <t>Universal Inflation Rate</t>
  </si>
  <si>
    <t>scooter_id</t>
  </si>
  <si>
    <t>in_service_date</t>
  </si>
  <si>
    <t>odometer_miles</t>
  </si>
  <si>
    <t>failure_datetime</t>
  </si>
  <si>
    <t>failure_mode</t>
  </si>
  <si>
    <t>severity</t>
  </si>
  <si>
    <t>repair_start</t>
  </si>
  <si>
    <t>repair_end</t>
  </si>
  <si>
    <t>repair_action</t>
  </si>
  <si>
    <t>parts_cost</t>
  </si>
  <si>
    <t>labor_hours</t>
  </si>
  <si>
    <t>return_to_service</t>
  </si>
  <si>
    <t>Replace Tires</t>
  </si>
  <si>
    <t>Example Reliability Data Log</t>
  </si>
  <si>
    <t>Replace Brake</t>
  </si>
  <si>
    <t>Replace Battery</t>
  </si>
  <si>
    <t>Electrcity</t>
  </si>
  <si>
    <t>Years</t>
  </si>
  <si>
    <t>IoT Modules</t>
  </si>
  <si>
    <t>Software Setup</t>
  </si>
  <si>
    <t xml:space="preserve"> Specs</t>
  </si>
  <si>
    <t xml:space="preserve">NIU KQi 100P Scooter </t>
  </si>
  <si>
    <t>GeoFencing System</t>
  </si>
  <si>
    <t>Ports/Station</t>
  </si>
  <si>
    <t>Stations</t>
  </si>
  <si>
    <t>MLCS Unit Adapter</t>
  </si>
  <si>
    <t>Shipping</t>
  </si>
  <si>
    <t>10-Port Station</t>
  </si>
  <si>
    <t>Kuhmute Smart Hub Station</t>
  </si>
  <si>
    <t>Joyride Neon IoT (GeoFencing)</t>
  </si>
  <si>
    <t>Soft-Ware Setup</t>
  </si>
  <si>
    <t>Eletrical Trenching</t>
  </si>
  <si>
    <t>Concrete Pads</t>
  </si>
  <si>
    <t>Eletrical Hookup</t>
  </si>
  <si>
    <t>Site Development (5 Stations)</t>
  </si>
  <si>
    <t xml:space="preserve">CSU Building </t>
  </si>
  <si>
    <t>ADA Title 24 Review</t>
  </si>
  <si>
    <t>Fire Marshal Review</t>
  </si>
  <si>
    <t>Permits</t>
  </si>
  <si>
    <t>SMOP (Annual)</t>
  </si>
  <si>
    <t>EHS</t>
  </si>
  <si>
    <t>Eletetrical Plan Review</t>
  </si>
  <si>
    <t>Site Development</t>
  </si>
  <si>
    <t xml:space="preserve">Hourly Retrofitting Labor Rate  </t>
  </si>
  <si>
    <t>Stock Scooter Fleet</t>
  </si>
  <si>
    <t xml:space="preserve">IoT Modules </t>
  </si>
  <si>
    <t xml:space="preserve">Retrofitting Labor </t>
  </si>
  <si>
    <t>Smart Hub Stations</t>
  </si>
  <si>
    <t>Joyride Scale Monthly  Fee</t>
  </si>
  <si>
    <t>Contingency</t>
  </si>
  <si>
    <t>Fleet</t>
  </si>
  <si>
    <t>Item</t>
  </si>
  <si>
    <t>MLCS Adapters</t>
  </si>
  <si>
    <t>Quantity</t>
  </si>
  <si>
    <t>Kuhmute Smart Hub</t>
  </si>
  <si>
    <t>Base Fee</t>
  </si>
  <si>
    <t>Rate/lb</t>
  </si>
  <si>
    <t>Spare Parts</t>
  </si>
  <si>
    <t xml:space="preserve"> Tires </t>
  </si>
  <si>
    <t xml:space="preserve"> Brakes </t>
  </si>
  <si>
    <t xml:space="preserve"> Batteries </t>
  </si>
  <si>
    <t xml:space="preserve"> Frame </t>
  </si>
  <si>
    <t xml:space="preserve"> Electric </t>
  </si>
  <si>
    <t xml:space="preserve"> Lights </t>
  </si>
  <si>
    <t>Cost Per Part</t>
  </si>
  <si>
    <t>Part</t>
  </si>
  <si>
    <t>2 Month Need</t>
  </si>
  <si>
    <t>+ Safety Factor</t>
  </si>
  <si>
    <t>Campus Sight Markers/Barriors</t>
  </si>
  <si>
    <t>On-Site Storage Allocation</t>
  </si>
  <si>
    <t>Aprox Unit/Weight(lb)</t>
  </si>
  <si>
    <t>Total Item Weight (lb)</t>
  </si>
  <si>
    <t xml:space="preserve"> Controller</t>
  </si>
  <si>
    <t>Controller</t>
  </si>
  <si>
    <t>Supplier</t>
  </si>
  <si>
    <t>NIU</t>
  </si>
  <si>
    <t>Joyride</t>
  </si>
  <si>
    <t>Kuhmute</t>
  </si>
  <si>
    <t>Monthly Annuity (25% Down)</t>
  </si>
  <si>
    <t>Finance Options</t>
  </si>
  <si>
    <t>3 Year Finance (25% Down)</t>
  </si>
  <si>
    <t>Nominal Interest Rates</t>
  </si>
  <si>
    <t>University MARR</t>
  </si>
  <si>
    <t>Option PV vs MARR</t>
  </si>
  <si>
    <t xml:space="preserve"> Annual Corrective Maintenance</t>
  </si>
  <si>
    <t>Annual Preventative Maintenance</t>
  </si>
  <si>
    <t>Parameter</t>
  </si>
  <si>
    <t>Notes</t>
  </si>
  <si>
    <t>Enrolled Students</t>
  </si>
  <si>
    <t>Active Months Per year</t>
  </si>
  <si>
    <t>Active Hours Per Day</t>
  </si>
  <si>
    <t>On-Campus Population %</t>
  </si>
  <si>
    <t>Moderate</t>
  </si>
  <si>
    <t>Fall/Spring Semesters</t>
  </si>
  <si>
    <t>Aggressive</t>
  </si>
  <si>
    <t>Based on 2025 Year Enrollment</t>
  </si>
  <si>
    <t>Active Days Per Week</t>
  </si>
  <si>
    <t>Conservative</t>
  </si>
  <si>
    <t>Peak Hours</t>
  </si>
  <si>
    <t>-</t>
  </si>
  <si>
    <t>10am-3pm</t>
  </si>
  <si>
    <t>9am-9PM</t>
  </si>
  <si>
    <t>Average Trip</t>
  </si>
  <si>
    <t>Campus Enthusasim</t>
  </si>
  <si>
    <t>Monday-Friday</t>
  </si>
  <si>
    <t>Daily Trips</t>
  </si>
  <si>
    <t>Daily Fleet Milage</t>
  </si>
  <si>
    <t>Campus size</t>
  </si>
  <si>
    <t>Younger Population Interest</t>
  </si>
  <si>
    <t>Consistent Campus Students</t>
  </si>
  <si>
    <t>Daily Unit Milage</t>
  </si>
  <si>
    <t>Active Days/Year</t>
  </si>
  <si>
    <t>Montly Averages</t>
  </si>
  <si>
    <t>Trips</t>
  </si>
  <si>
    <t>Fleet Miles</t>
  </si>
  <si>
    <t>Unit Miles</t>
  </si>
  <si>
    <t>Project Life (Years)</t>
  </si>
  <si>
    <t xml:space="preserve">Spare Parts Stock </t>
  </si>
  <si>
    <t>Inhouse Labor Option</t>
  </si>
  <si>
    <t>Unit Milage Range</t>
  </si>
  <si>
    <t>Avg Daily Rides Per User</t>
  </si>
  <si>
    <t>Daily Unit Capacity Usage</t>
  </si>
  <si>
    <t>Active Fleet Size</t>
  </si>
  <si>
    <t>NIU KQi 100P  Range</t>
  </si>
  <si>
    <t>Average Montly Miles</t>
  </si>
  <si>
    <t>Average Montly Charges</t>
  </si>
  <si>
    <t>Battery Capacity (kWh)</t>
  </si>
  <si>
    <t>Average Monthly Energy (kWh)</t>
  </si>
  <si>
    <t>Energy Cost /kWh</t>
  </si>
  <si>
    <t>Charger Hub Parastic Loss</t>
  </si>
  <si>
    <t>Average Monthly Energy Bill</t>
  </si>
  <si>
    <t>Value</t>
  </si>
  <si>
    <t>Year Option Selected</t>
  </si>
  <si>
    <t>Monthy Cost</t>
  </si>
  <si>
    <t>Labor</t>
  </si>
  <si>
    <t>Parts</t>
  </si>
  <si>
    <t>Finance Payments</t>
  </si>
  <si>
    <t>Joyride  Scale Plan</t>
  </si>
  <si>
    <t>Permit</t>
  </si>
  <si>
    <t xml:space="preserve">Monthly Parts Order  </t>
  </si>
  <si>
    <t>Project Startup Order</t>
  </si>
  <si>
    <t>Inflation Factor</t>
  </si>
  <si>
    <t>NPV</t>
  </si>
  <si>
    <t>AEC</t>
  </si>
  <si>
    <t>CSUEB NIU KQi 100P Scooter Fleet</t>
  </si>
  <si>
    <t xml:space="preserve"> Single Unit Retrofitting Labor Hours</t>
  </si>
  <si>
    <t>Monthly Fee/Unit (After 150)</t>
  </si>
  <si>
    <t>Benefits/Each</t>
  </si>
  <si>
    <t>Opt-in Users</t>
  </si>
  <si>
    <t xml:space="preserve">Fee </t>
  </si>
  <si>
    <t>Revenue</t>
  </si>
  <si>
    <t>Cash In</t>
  </si>
  <si>
    <t>Student Opt-in Annual Fee</t>
  </si>
  <si>
    <t>Student Fee Revenue</t>
  </si>
  <si>
    <t>Estimate</t>
  </si>
  <si>
    <t>Estimate Classification</t>
  </si>
  <si>
    <t>Adoption %</t>
  </si>
  <si>
    <t>%</t>
  </si>
  <si>
    <t>Fee</t>
  </si>
  <si>
    <t>Per Mile Revenue</t>
  </si>
  <si>
    <t>Per Mile Fee</t>
  </si>
  <si>
    <t xml:space="preserve"> Student Annual Fee </t>
  </si>
  <si>
    <t>$/mile</t>
  </si>
  <si>
    <t xml:space="preserve">Inflated Revenue </t>
  </si>
  <si>
    <t>Annual miles</t>
  </si>
  <si>
    <t>MMBF</t>
  </si>
  <si>
    <t>MMBF = Mean miles before failure</t>
  </si>
  <si>
    <t xml:space="preserve">Annual Fleet Miles </t>
  </si>
  <si>
    <t>Annual Student Fee</t>
  </si>
  <si>
    <t>Net Cash Flow</t>
  </si>
  <si>
    <t>Battery (kWh)</t>
  </si>
  <si>
    <t>Discounted Project Value</t>
  </si>
  <si>
    <t>Annual Revenue</t>
  </si>
  <si>
    <t>Annual Costs</t>
  </si>
  <si>
    <t>Cumulative NPV</t>
  </si>
  <si>
    <t>Discounted Outflow</t>
  </si>
  <si>
    <t>Discounted Inflow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</si>
</sst>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0.0"/>
    <numFmt numFmtId="165" formatCode="&quot;$&quot;#,##0.00"/>
    <numFmt numFmtId="166" formatCode="&quot;$&quot;#,##0"/>
    <numFmt numFmtId="167" formatCode="0.0%"/>
    <numFmt numFmtId="168" formatCode="0.000"/>
    <numFmt numFmtId="169" formatCode="&quot;$&quot;#,##0.00;[Red]&quot;$&quot;#,##0.00"/>
  </numFmts>
  <fonts count="1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rgb="FF0F1115"/>
      <name val="Aptos Narrow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4CDAE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7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9" fontId="0" fillId="0" borderId="1" xfId="2" applyFont="1" applyBorder="1" applyAlignment="1">
      <alignment horizontal="center"/>
    </xf>
    <xf numFmtId="9" fontId="0" fillId="0" borderId="1" xfId="2" applyFont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166" fontId="0" fillId="0" borderId="1" xfId="1" applyNumberFormat="1" applyFont="1" applyBorder="1" applyAlignment="1">
      <alignment horizontal="center" vertical="center"/>
    </xf>
    <xf numFmtId="8" fontId="0" fillId="0" borderId="0" xfId="0" applyNumberFormat="1"/>
    <xf numFmtId="8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6" fontId="0" fillId="0" borderId="1" xfId="0" applyNumberFormat="1" applyBorder="1"/>
    <xf numFmtId="165" fontId="0" fillId="0" borderId="1" xfId="0" applyNumberFormat="1" applyBorder="1"/>
    <xf numFmtId="8" fontId="0" fillId="0" borderId="1" xfId="0" applyNumberFormat="1" applyBorder="1"/>
    <xf numFmtId="0" fontId="0" fillId="4" borderId="1" xfId="0" applyFill="1" applyBorder="1"/>
    <xf numFmtId="166" fontId="5" fillId="4" borderId="1" xfId="0" applyNumberFormat="1" applyFont="1" applyFill="1" applyBorder="1"/>
    <xf numFmtId="44" fontId="0" fillId="0" borderId="1" xfId="1" applyFont="1" applyFill="1" applyBorder="1" applyAlignment="1">
      <alignment horizontal="center" vertical="center"/>
    </xf>
    <xf numFmtId="6" fontId="0" fillId="0" borderId="1" xfId="0" applyNumberFormat="1" applyBorder="1" applyAlignment="1">
      <alignment horizontal="center" vertical="center"/>
    </xf>
    <xf numFmtId="44" fontId="0" fillId="0" borderId="5" xfId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44" fontId="0" fillId="5" borderId="1" xfId="1" applyFont="1" applyFill="1" applyBorder="1" applyAlignment="1">
      <alignment horizontal="center" vertical="center"/>
    </xf>
    <xf numFmtId="9" fontId="0" fillId="5" borderId="1" xfId="2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5" fontId="0" fillId="5" borderId="1" xfId="1" applyNumberFormat="1" applyFont="1" applyFill="1" applyBorder="1" applyAlignment="1">
      <alignment horizontal="center" vertical="center"/>
    </xf>
    <xf numFmtId="2" fontId="0" fillId="0" borderId="1" xfId="2" applyNumberFormat="1" applyFont="1" applyBorder="1" applyAlignment="1">
      <alignment horizontal="center"/>
    </xf>
    <xf numFmtId="2" fontId="0" fillId="5" borderId="1" xfId="2" applyNumberFormat="1" applyFont="1" applyFill="1" applyBorder="1" applyAlignment="1">
      <alignment horizontal="center"/>
    </xf>
    <xf numFmtId="1" fontId="0" fillId="0" borderId="1" xfId="2" applyNumberFormat="1" applyFont="1" applyBorder="1" applyAlignment="1">
      <alignment horizontal="center"/>
    </xf>
    <xf numFmtId="1" fontId="0" fillId="5" borderId="1" xfId="2" applyNumberFormat="1" applyFont="1" applyFill="1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4" fontId="0" fillId="0" borderId="0" xfId="0" applyNumberFormat="1"/>
    <xf numFmtId="22" fontId="0" fillId="0" borderId="0" xfId="0" applyNumberFormat="1"/>
    <xf numFmtId="44" fontId="3" fillId="0" borderId="1" xfId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22" fontId="0" fillId="0" borderId="1" xfId="0" applyNumberFormat="1" applyBorder="1" applyAlignment="1">
      <alignment horizontal="center" vertical="center"/>
    </xf>
    <xf numFmtId="3" fontId="0" fillId="0" borderId="1" xfId="1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9" fontId="0" fillId="0" borderId="1" xfId="0" applyNumberFormat="1" applyBorder="1"/>
    <xf numFmtId="0" fontId="0" fillId="0" borderId="7" xfId="0" applyBorder="1" applyAlignment="1">
      <alignment horizontal="center"/>
    </xf>
    <xf numFmtId="165" fontId="0" fillId="0" borderId="7" xfId="0" applyNumberFormat="1" applyBorder="1"/>
    <xf numFmtId="0" fontId="0" fillId="0" borderId="8" xfId="0" applyBorder="1" applyAlignment="1">
      <alignment horizontal="center"/>
    </xf>
    <xf numFmtId="165" fontId="0" fillId="0" borderId="8" xfId="0" applyNumberFormat="1" applyBorder="1"/>
    <xf numFmtId="0" fontId="0" fillId="0" borderId="7" xfId="0" applyBorder="1" applyAlignment="1">
      <alignment horizontal="center" vertical="center"/>
    </xf>
    <xf numFmtId="1" fontId="0" fillId="0" borderId="7" xfId="1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6" fontId="0" fillId="0" borderId="8" xfId="1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6" fontId="0" fillId="0" borderId="10" xfId="0" applyNumberFormat="1" applyBorder="1"/>
    <xf numFmtId="0" fontId="0" fillId="0" borderId="9" xfId="0" applyBorder="1" applyAlignment="1">
      <alignment horizontal="center" vertical="center"/>
    </xf>
    <xf numFmtId="44" fontId="10" fillId="0" borderId="1" xfId="0" applyNumberFormat="1" applyFont="1" applyBorder="1" applyAlignment="1">
      <alignment horizontal="center" vertical="center"/>
    </xf>
    <xf numFmtId="44" fontId="10" fillId="0" borderId="10" xfId="0" applyNumberFormat="1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44" fontId="10" fillId="0" borderId="11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165" fontId="0" fillId="0" borderId="11" xfId="0" applyNumberFormat="1" applyBorder="1"/>
    <xf numFmtId="165" fontId="0" fillId="0" borderId="10" xfId="0" applyNumberFormat="1" applyBorder="1"/>
    <xf numFmtId="164" fontId="0" fillId="0" borderId="1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9" xfId="0" applyNumberFormat="1" applyBorder="1"/>
    <xf numFmtId="0" fontId="0" fillId="0" borderId="14" xfId="0" applyBorder="1" applyAlignment="1">
      <alignment horizontal="center"/>
    </xf>
    <xf numFmtId="44" fontId="10" fillId="0" borderId="14" xfId="0" applyNumberFormat="1" applyFont="1" applyBorder="1" applyAlignment="1">
      <alignment horizontal="center" vertical="center"/>
    </xf>
    <xf numFmtId="164" fontId="0" fillId="0" borderId="14" xfId="0" applyNumberFormat="1" applyBorder="1" applyAlignment="1">
      <alignment horizontal="center"/>
    </xf>
    <xf numFmtId="165" fontId="0" fillId="0" borderId="14" xfId="0" applyNumberFormat="1" applyBorder="1"/>
    <xf numFmtId="0" fontId="0" fillId="0" borderId="15" xfId="0" applyBorder="1" applyAlignment="1">
      <alignment horizontal="center"/>
    </xf>
    <xf numFmtId="165" fontId="0" fillId="0" borderId="16" xfId="0" applyNumberFormat="1" applyBorder="1"/>
    <xf numFmtId="0" fontId="0" fillId="0" borderId="15" xfId="0" applyBorder="1"/>
    <xf numFmtId="1" fontId="0" fillId="0" borderId="15" xfId="0" applyNumberFormat="1" applyBorder="1" applyAlignment="1">
      <alignment horizontal="center"/>
    </xf>
    <xf numFmtId="0" fontId="0" fillId="0" borderId="10" xfId="0" quotePrefix="1" applyBorder="1" applyAlignment="1">
      <alignment horizontal="center"/>
    </xf>
    <xf numFmtId="9" fontId="0" fillId="0" borderId="1" xfId="2" applyFont="1" applyBorder="1"/>
    <xf numFmtId="3" fontId="0" fillId="0" borderId="11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64" fontId="0" fillId="0" borderId="0" xfId="0" applyNumberFormat="1"/>
    <xf numFmtId="164" fontId="0" fillId="0" borderId="5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2" xfId="0" applyBorder="1"/>
    <xf numFmtId="8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9" fontId="0" fillId="0" borderId="1" xfId="0" applyNumberFormat="1" applyBorder="1" applyAlignment="1">
      <alignment horizontal="center"/>
    </xf>
    <xf numFmtId="1" fontId="0" fillId="0" borderId="1" xfId="0" applyNumberFormat="1" applyBorder="1"/>
    <xf numFmtId="0" fontId="0" fillId="0" borderId="10" xfId="0" applyBorder="1"/>
    <xf numFmtId="1" fontId="0" fillId="0" borderId="10" xfId="0" applyNumberFormat="1" applyBorder="1"/>
    <xf numFmtId="0" fontId="0" fillId="0" borderId="8" xfId="0" applyBorder="1"/>
    <xf numFmtId="0" fontId="0" fillId="0" borderId="19" xfId="0" applyBorder="1"/>
    <xf numFmtId="0" fontId="0" fillId="0" borderId="20" xfId="0" applyBorder="1" applyAlignment="1">
      <alignment horizontal="center"/>
    </xf>
    <xf numFmtId="0" fontId="0" fillId="0" borderId="18" xfId="0" applyBorder="1" applyAlignment="1">
      <alignment horizontal="center" vertical="center"/>
    </xf>
    <xf numFmtId="167" fontId="0" fillId="0" borderId="7" xfId="2" applyNumberFormat="1" applyFont="1" applyFill="1" applyBorder="1" applyAlignment="1">
      <alignment horizontal="center" vertical="center"/>
    </xf>
    <xf numFmtId="165" fontId="0" fillId="0" borderId="10" xfId="0" applyNumberFormat="1" applyBorder="1" applyAlignment="1">
      <alignment horizontal="center"/>
    </xf>
    <xf numFmtId="164" fontId="0" fillId="0" borderId="1" xfId="0" applyNumberFormat="1" applyBorder="1"/>
    <xf numFmtId="165" fontId="0" fillId="0" borderId="1" xfId="1" applyNumberFormat="1" applyFont="1" applyFill="1" applyBorder="1" applyAlignment="1"/>
    <xf numFmtId="0" fontId="0" fillId="0" borderId="9" xfId="0" applyBorder="1"/>
    <xf numFmtId="0" fontId="0" fillId="0" borderId="21" xfId="0" applyBorder="1"/>
    <xf numFmtId="0" fontId="0" fillId="0" borderId="22" xfId="0" quotePrefix="1" applyBorder="1" applyAlignment="1">
      <alignment horizontal="center"/>
    </xf>
    <xf numFmtId="0" fontId="11" fillId="8" borderId="11" xfId="0" applyFont="1" applyFill="1" applyBorder="1" applyAlignment="1">
      <alignment horizontal="center"/>
    </xf>
    <xf numFmtId="44" fontId="10" fillId="0" borderId="9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1" fontId="0" fillId="0" borderId="9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44" fontId="10" fillId="0" borderId="24" xfId="0" applyNumberFormat="1" applyFont="1" applyBorder="1" applyAlignment="1">
      <alignment horizontal="center" vertical="center"/>
    </xf>
    <xf numFmtId="164" fontId="0" fillId="0" borderId="15" xfId="0" applyNumberFormat="1" applyBorder="1" applyAlignment="1">
      <alignment horizontal="center"/>
    </xf>
    <xf numFmtId="165" fontId="0" fillId="0" borderId="15" xfId="0" applyNumberFormat="1" applyBorder="1"/>
    <xf numFmtId="165" fontId="0" fillId="0" borderId="10" xfId="0" applyNumberFormat="1" applyBorder="1" applyAlignment="1">
      <alignment horizontal="center" vertical="center"/>
    </xf>
    <xf numFmtId="0" fontId="11" fillId="11" borderId="9" xfId="0" applyFont="1" applyFill="1" applyBorder="1" applyAlignment="1">
      <alignment horizontal="center" vertical="center"/>
    </xf>
    <xf numFmtId="168" fontId="0" fillId="0" borderId="10" xfId="0" applyNumberForma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0" fontId="0" fillId="14" borderId="21" xfId="0" applyFill="1" applyBorder="1" applyAlignment="1">
      <alignment horizontal="center"/>
    </xf>
    <xf numFmtId="0" fontId="0" fillId="14" borderId="22" xfId="0" applyFill="1" applyBorder="1" applyAlignment="1">
      <alignment horizontal="center"/>
    </xf>
    <xf numFmtId="0" fontId="11" fillId="11" borderId="7" xfId="0" applyFont="1" applyFill="1" applyBorder="1" applyAlignment="1">
      <alignment horizontal="center" vertical="center"/>
    </xf>
    <xf numFmtId="165" fontId="12" fillId="0" borderId="1" xfId="0" applyNumberFormat="1" applyFont="1" applyBorder="1"/>
    <xf numFmtId="10" fontId="0" fillId="0" borderId="0" xfId="0" applyNumberFormat="1"/>
    <xf numFmtId="0" fontId="0" fillId="0" borderId="7" xfId="0" applyBorder="1"/>
    <xf numFmtId="10" fontId="0" fillId="0" borderId="1" xfId="0" applyNumberFormat="1" applyBorder="1"/>
    <xf numFmtId="165" fontId="0" fillId="0" borderId="4" xfId="0" applyNumberFormat="1" applyBorder="1"/>
    <xf numFmtId="10" fontId="0" fillId="0" borderId="10" xfId="0" applyNumberFormat="1" applyBorder="1"/>
    <xf numFmtId="0" fontId="0" fillId="0" borderId="29" xfId="0" applyBorder="1"/>
    <xf numFmtId="9" fontId="0" fillId="0" borderId="29" xfId="0" applyNumberFormat="1" applyBorder="1"/>
    <xf numFmtId="165" fontId="0" fillId="0" borderId="30" xfId="0" applyNumberFormat="1" applyBorder="1"/>
    <xf numFmtId="0" fontId="11" fillId="11" borderId="14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6" borderId="3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44" fontId="8" fillId="0" borderId="27" xfId="1" applyFont="1" applyFill="1" applyBorder="1" applyAlignment="1">
      <alignment horizontal="center" vertical="center"/>
    </xf>
    <xf numFmtId="44" fontId="8" fillId="0" borderId="8" xfId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11" fillId="9" borderId="9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10" borderId="23" xfId="0" applyFill="1" applyBorder="1" applyAlignment="1">
      <alignment horizontal="center"/>
    </xf>
    <xf numFmtId="0" fontId="0" fillId="13" borderId="23" xfId="0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1" fontId="0" fillId="0" borderId="3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3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8" xfId="0" applyBorder="1" applyAlignment="1">
      <alignment horizontal="center"/>
    </xf>
    <xf numFmtId="0" fontId="0" fillId="0" borderId="7" xfId="0" applyBorder="1" applyAlignment="1">
      <alignment horizontal="center"/>
    </xf>
    <xf numFmtId="0" fontId="11" fillId="0" borderId="1" xfId="0" applyFont="1" applyBorder="1"/>
    <xf numFmtId="169" fontId="0" fillId="0" borderId="1" xfId="0" applyNumberFormat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4CDAE"/>
      <color rgb="FFFF71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</a:t>
            </a:r>
            <a:r>
              <a:rPr lang="en-US" baseline="0"/>
              <a:t> Discounted Cashflow (8% MARR)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'Annual Cashflow'!$B$1</c:f>
              <c:strCache>
                <c:ptCount val="1"/>
                <c:pt idx="0">
                  <c:v>Annual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'Annual Cashflow'!$B$2:$B$6</c:f>
              <c:numCache>
                <c:formatCode>"$"#,##0.00;[Red]"$"#,##0.00</c:formatCode>
                <c:ptCount val="5"/>
                <c:pt idx="0">
                  <c:v>210496.63225562812</c:v>
                </c:pt>
                <c:pt idx="1">
                  <c:v>204752.50830366375</c:v>
                </c:pt>
                <c:pt idx="2">
                  <c:v>194415.65583672572</c:v>
                </c:pt>
                <c:pt idx="3">
                  <c:v>184643.24614511634</c:v>
                </c:pt>
                <c:pt idx="4">
                  <c:v>178936.03870423092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96-274F-A4AE-92E9F2CE80F7}"/>
            </c:ext>
          </c:extLst>
        </c:ser>
        <c:ser>
          <c:idx val="1"/>
          <c:order val="1"/>
          <c:tx>
            <c:strRef>
              <c:f>'Annual Cashflow'!$C$1</c:f>
              <c:strCache>
                <c:ptCount val="1"/>
                <c:pt idx="0">
                  <c:v>Annual Costs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'Annual Cashflow'!$C$2:$C$6</c:f>
              <c:numCache>
                <c:formatCode>"$"#,##0.00;[Red]"$"#,##0.00</c:formatCode>
                <c:ptCount val="5"/>
                <c:pt idx="0">
                  <c:v>249372.7018597956</c:v>
                </c:pt>
                <c:pt idx="1">
                  <c:v>179313.43397986534</c:v>
                </c:pt>
                <c:pt idx="2">
                  <c:v>169520.57810714102</c:v>
                </c:pt>
                <c:pt idx="3">
                  <c:v>104193.67102111128</c:v>
                </c:pt>
                <c:pt idx="4">
                  <c:v>102318.26807857092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96-274F-A4AE-92E9F2CE8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3744320"/>
        <c:axId val="1883746560"/>
      </c:barChart>
      <c:lineChart>
        <c:grouping val="standard"/>
        <c:varyColors val="0"/>
        <c:ser>
          <c:idx val="2"/>
          <c:order val="2"/>
          <c:tx>
            <c:strRef>
              <c:f>'Annual Cashflow'!$D$1</c:f>
              <c:strCache>
                <c:ptCount val="1"/>
                <c:pt idx="0">
                  <c:v>Cumulative NPV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'Annual Cashflow'!$D$2:$D$6</c:f>
              <c:numCache>
                <c:formatCode>"$"#,##0.00;[Red]"$"#,##0.00</c:formatCode>
                <c:ptCount val="5"/>
                <c:pt idx="0">
                  <c:v>-38876.069604167482</c:v>
                </c:pt>
                <c:pt idx="1">
                  <c:v>-13436.995280369068</c:v>
                </c:pt>
                <c:pt idx="2">
                  <c:v>11458.082449215639</c:v>
                </c:pt>
                <c:pt idx="3">
                  <c:v>91907.657573220698</c:v>
                </c:pt>
                <c:pt idx="4">
                  <c:v>168525.42819888069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96-274F-A4AE-92E9F2CE8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3744320"/>
        <c:axId val="1883746560"/>
      </c:lineChart>
      <c:catAx>
        <c:axId val="18837443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746560"/>
        <c:crosses val="autoZero"/>
        <c:auto val="1"/>
        <c:lblAlgn val="ctr"/>
        <c:lblOffset val="100"/>
        <c:noMultiLvlLbl val="0"/>
      </c:catAx>
      <c:valAx>
        <c:axId val="188374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;[Red]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744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Project NPV Sensitivity to Student Adoption Across Annual Fee Scenarios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'PROJECT ANALYSIS'!$D$4</c:f>
              <c:strCache>
                <c:ptCount val="1"/>
                <c:pt idx="0">
                  <c:v>$180.00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'PROJECT ANALYSIS'!$C$5:$C$15</c:f>
              <c:numCache>
                <c:formatCode>0.00%</c:formatCode>
                <c:ptCount val="11"/>
                <c:pt idx="0">
                  <c:v>0.1</c:v>
                </c:pt>
                <c:pt idx="1">
                  <c:v>0.11</c:v>
                </c:pt>
                <c:pt idx="2">
                  <c:v>0.12</c:v>
                </c:pt>
                <c:pt idx="3">
                  <c:v>0.13</c:v>
                </c:pt>
                <c:pt idx="4">
                  <c:v>0.14000000000000001</c:v>
                </c:pt>
                <c:pt idx="5">
                  <c:v>0.15000000000000002</c:v>
                </c:pt>
                <c:pt idx="6">
                  <c:v>0.16000000000000003</c:v>
                </c:pt>
                <c:pt idx="7">
                  <c:v>0.17000000000000004</c:v>
                </c:pt>
                <c:pt idx="8">
                  <c:v>0.18000000000000005</c:v>
                </c:pt>
                <c:pt idx="9">
                  <c:v>0.19000000000000006</c:v>
                </c:pt>
                <c:pt idx="10">
                  <c:v>0.20000000000000007</c:v>
                </c:pt>
              </c:numCache>
            </c:numRef>
          </c:cat>
          <c:val>
            <c:numRef>
              <c:f>'PROJECT ANALYSIS'!$D$5:$D$15</c:f>
              <c:numCache>
                <c:formatCode>"$"#,##0.00</c:formatCode>
                <c:ptCount val="11"/>
                <c:pt idx="0">
                  <c:v>52913.317904291755</c:v>
                </c:pt>
                <c:pt idx="1">
                  <c:v>110719.37305158621</c:v>
                </c:pt>
                <c:pt idx="2">
                  <c:v>168525.42819888081</c:v>
                </c:pt>
                <c:pt idx="3">
                  <c:v>226331.48334617523</c:v>
                </c:pt>
                <c:pt idx="4">
                  <c:v>284137.53849346994</c:v>
                </c:pt>
                <c:pt idx="5">
                  <c:v>341943.59364076459</c:v>
                </c:pt>
                <c:pt idx="6">
                  <c:v>399749.64878805896</c:v>
                </c:pt>
                <c:pt idx="7">
                  <c:v>457555.70393535355</c:v>
                </c:pt>
                <c:pt idx="8">
                  <c:v>515361.7590826482</c:v>
                </c:pt>
                <c:pt idx="9">
                  <c:v>573167.81422994286</c:v>
                </c:pt>
                <c:pt idx="10">
                  <c:v>630973.86937723751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A1-DD47-A25E-335BDDF2EBA9}"/>
            </c:ext>
          </c:extLst>
        </c:ser>
        <c:ser>
          <c:idx val="1"/>
          <c:order val="1"/>
          <c:tx>
            <c:strRef>
              <c:f>'PROJECT ANALYSIS'!$G$4</c:f>
              <c:strCache>
                <c:ptCount val="1"/>
                <c:pt idx="0">
                  <c:v>$210.00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'PROJECT ANALYSIS'!$C$5:$C$15</c:f>
              <c:numCache>
                <c:formatCode>0.00%</c:formatCode>
                <c:ptCount val="11"/>
                <c:pt idx="0">
                  <c:v>0.1</c:v>
                </c:pt>
                <c:pt idx="1">
                  <c:v>0.11</c:v>
                </c:pt>
                <c:pt idx="2">
                  <c:v>0.12</c:v>
                </c:pt>
                <c:pt idx="3">
                  <c:v>0.13</c:v>
                </c:pt>
                <c:pt idx="4">
                  <c:v>0.14000000000000001</c:v>
                </c:pt>
                <c:pt idx="5">
                  <c:v>0.15000000000000002</c:v>
                </c:pt>
                <c:pt idx="6">
                  <c:v>0.16000000000000003</c:v>
                </c:pt>
                <c:pt idx="7">
                  <c:v>0.17000000000000004</c:v>
                </c:pt>
                <c:pt idx="8">
                  <c:v>0.18000000000000005</c:v>
                </c:pt>
                <c:pt idx="9">
                  <c:v>0.19000000000000006</c:v>
                </c:pt>
                <c:pt idx="10">
                  <c:v>0.20000000000000007</c:v>
                </c:pt>
              </c:numCache>
            </c:numRef>
          </c:cat>
          <c:val>
            <c:numRef>
              <c:f>'PROJECT ANALYSIS'!$G$5:$G$15</c:f>
              <c:numCache>
                <c:formatCode>"$"#,##0.00</c:formatCode>
                <c:ptCount val="11"/>
                <c:pt idx="0">
                  <c:v>152280.57050845848</c:v>
                </c:pt>
                <c:pt idx="1">
                  <c:v>220023.35091616964</c:v>
                </c:pt>
                <c:pt idx="2">
                  <c:v>287766.13132388081</c:v>
                </c:pt>
                <c:pt idx="3">
                  <c:v>355508.91173159186</c:v>
                </c:pt>
                <c:pt idx="4">
                  <c:v>423251.69213930337</c:v>
                </c:pt>
                <c:pt idx="5">
                  <c:v>490994.47254701483</c:v>
                </c:pt>
                <c:pt idx="6">
                  <c:v>558737.25295472587</c:v>
                </c:pt>
                <c:pt idx="7">
                  <c:v>626480.03336243704</c:v>
                </c:pt>
                <c:pt idx="8">
                  <c:v>694222.81377014844</c:v>
                </c:pt>
                <c:pt idx="9">
                  <c:v>761965.59417785995</c:v>
                </c:pt>
                <c:pt idx="10">
                  <c:v>829708.374585571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A1-DD47-A25E-335BDDF2EBA9}"/>
            </c:ext>
          </c:extLst>
        </c:ser>
        <c:ser>
          <c:idx val="2"/>
          <c:order val="2"/>
          <c:tx>
            <c:strRef>
              <c:f>'PROJECT ANALYSIS'!$K$4</c:f>
              <c:strCache>
                <c:ptCount val="1"/>
                <c:pt idx="0">
                  <c:v>$250.00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'PROJECT ANALYSIS'!$C$5:$C$15</c:f>
              <c:numCache>
                <c:formatCode>0.00%</c:formatCode>
                <c:ptCount val="11"/>
                <c:pt idx="0">
                  <c:v>0.1</c:v>
                </c:pt>
                <c:pt idx="1">
                  <c:v>0.11</c:v>
                </c:pt>
                <c:pt idx="2">
                  <c:v>0.12</c:v>
                </c:pt>
                <c:pt idx="3">
                  <c:v>0.13</c:v>
                </c:pt>
                <c:pt idx="4">
                  <c:v>0.14000000000000001</c:v>
                </c:pt>
                <c:pt idx="5">
                  <c:v>0.15000000000000002</c:v>
                </c:pt>
                <c:pt idx="6">
                  <c:v>0.16000000000000003</c:v>
                </c:pt>
                <c:pt idx="7">
                  <c:v>0.17000000000000004</c:v>
                </c:pt>
                <c:pt idx="8">
                  <c:v>0.18000000000000005</c:v>
                </c:pt>
                <c:pt idx="9">
                  <c:v>0.19000000000000006</c:v>
                </c:pt>
                <c:pt idx="10">
                  <c:v>0.20000000000000007</c:v>
                </c:pt>
              </c:numCache>
            </c:numRef>
          </c:cat>
          <c:val>
            <c:numRef>
              <c:f>'PROJECT ANALYSIS'!$K$5:$K$15</c:f>
              <c:numCache>
                <c:formatCode>"$"#,##0.00</c:formatCode>
                <c:ptCount val="11"/>
                <c:pt idx="0">
                  <c:v>284770.24064734747</c:v>
                </c:pt>
                <c:pt idx="1">
                  <c:v>365761.98806894751</c:v>
                </c:pt>
                <c:pt idx="2">
                  <c:v>446753.73549054749</c:v>
                </c:pt>
                <c:pt idx="3">
                  <c:v>527745.48291214765</c:v>
                </c:pt>
                <c:pt idx="4">
                  <c:v>608737.23033374781</c:v>
                </c:pt>
                <c:pt idx="5">
                  <c:v>689728.9777553482</c:v>
                </c:pt>
                <c:pt idx="6">
                  <c:v>770720.72517694836</c:v>
                </c:pt>
                <c:pt idx="7">
                  <c:v>851712.47259854851</c:v>
                </c:pt>
                <c:pt idx="8">
                  <c:v>932704.22002014832</c:v>
                </c:pt>
                <c:pt idx="9">
                  <c:v>1013695.9674417488</c:v>
                </c:pt>
                <c:pt idx="10">
                  <c:v>1094687.7148633488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A1-DD47-A25E-335BDDF2E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6913023"/>
        <c:axId val="586913471"/>
      </c:lineChart>
      <c:catAx>
        <c:axId val="5869130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Average (On Campus) Student Adoption 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913471"/>
        <c:crosses val="autoZero"/>
        <c:auto val="1"/>
        <c:lblAlgn val="ctr"/>
        <c:lblOffset val="100"/>
        <c:noMultiLvlLbl val="0"/>
      </c:catAx>
      <c:valAx>
        <c:axId val="586913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5 year Project NPV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91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50800</xdr:rowOff>
    </xdr:from>
    <xdr:to>
      <xdr:col>6</xdr:col>
      <xdr:colOff>158750</xdr:colOff>
      <xdr:row>36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EB3E8A-5D85-82D4-BF8A-5A59A39034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996337</xdr:colOff>
      <xdr:row>17</xdr:row>
      <xdr:rowOff>4386</xdr:rowOff>
    </xdr:from>
    <xdr:to>
      <xdr:col>15</xdr:col>
      <xdr:colOff>127368</xdr:colOff>
      <xdr:row>67</xdr:row>
      <xdr:rowOff>8835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8A67C3B-ACF3-9B47-EDEF-24FB624F28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AFF25-91F7-4987-948B-6920378FFDE4}">
  <dimension ref="B2:I47"/>
  <sheetViews>
    <sheetView topLeftCell="B1" zoomScale="134" workbookViewId="0">
      <selection activeCell="C8" sqref="C8"/>
    </sheetView>
  </sheetViews>
  <sheetFormatPr baseColWidth="10" defaultColWidth="8.83203125" defaultRowHeight="15" x14ac:dyDescent="0.2"/>
  <cols>
    <col min="2" max="2" width="22.6640625" customWidth="1"/>
    <col min="3" max="3" width="12.1640625" customWidth="1"/>
    <col min="5" max="5" width="27" customWidth="1"/>
    <col min="6" max="6" width="13.5" bestFit="1" customWidth="1"/>
    <col min="7" max="7" width="23.33203125" customWidth="1"/>
    <col min="8" max="8" width="15.5" customWidth="1"/>
    <col min="9" max="9" width="9.1640625" bestFit="1" customWidth="1"/>
    <col min="12" max="12" width="9.6640625" customWidth="1"/>
    <col min="13" max="13" width="5.6640625" customWidth="1"/>
    <col min="14" max="14" width="10.1640625" customWidth="1"/>
    <col min="15" max="15" width="14.5" customWidth="1"/>
    <col min="17" max="17" width="10.83203125" customWidth="1"/>
    <col min="18" max="18" width="15.83203125" customWidth="1"/>
    <col min="20" max="20" width="11.6640625" customWidth="1"/>
    <col min="21" max="21" width="13.33203125" customWidth="1"/>
    <col min="22" max="22" width="8.33203125" customWidth="1"/>
    <col min="23" max="23" width="9.33203125" customWidth="1"/>
    <col min="24" max="24" width="21.6640625" customWidth="1"/>
  </cols>
  <sheetData>
    <row r="2" spans="2:9" ht="16" customHeight="1" x14ac:dyDescent="0.2">
      <c r="B2" s="130" t="s">
        <v>61</v>
      </c>
      <c r="C2" s="131"/>
      <c r="E2" s="132" t="s">
        <v>1</v>
      </c>
      <c r="F2" s="133"/>
    </row>
    <row r="3" spans="2:9" x14ac:dyDescent="0.2">
      <c r="B3" s="3" t="s">
        <v>0</v>
      </c>
      <c r="C3" s="7">
        <v>300</v>
      </c>
      <c r="E3" s="3" t="s">
        <v>2</v>
      </c>
      <c r="F3" s="5">
        <v>0.1</v>
      </c>
    </row>
    <row r="4" spans="2:9" x14ac:dyDescent="0.2">
      <c r="B4" s="49" t="s">
        <v>3</v>
      </c>
      <c r="C4" s="50">
        <v>150</v>
      </c>
      <c r="E4" s="3" t="s">
        <v>156</v>
      </c>
      <c r="F4" s="3">
        <v>5</v>
      </c>
    </row>
    <row r="5" spans="2:9" x14ac:dyDescent="0.2">
      <c r="B5" s="51"/>
      <c r="C5" s="52"/>
      <c r="E5" s="3" t="s">
        <v>39</v>
      </c>
      <c r="F5" s="97">
        <v>3.5000000000000003E-2</v>
      </c>
    </row>
    <row r="6" spans="2:9" x14ac:dyDescent="0.2">
      <c r="B6" s="134" t="s">
        <v>60</v>
      </c>
      <c r="C6" s="134"/>
      <c r="E6" s="96" t="s">
        <v>122</v>
      </c>
      <c r="F6" s="89">
        <v>0.08</v>
      </c>
    </row>
    <row r="7" spans="2:9" x14ac:dyDescent="0.2">
      <c r="B7" s="3" t="s">
        <v>5</v>
      </c>
      <c r="C7" s="3">
        <v>243</v>
      </c>
      <c r="E7" s="3" t="s">
        <v>83</v>
      </c>
      <c r="F7" s="98">
        <v>100</v>
      </c>
    </row>
    <row r="8" spans="2:9" ht="16" thickBot="1" x14ac:dyDescent="0.25">
      <c r="B8" s="3" t="s">
        <v>210</v>
      </c>
      <c r="C8" s="2">
        <f>C7/1000</f>
        <v>0.24299999999999999</v>
      </c>
    </row>
    <row r="9" spans="2:9" ht="16" thickBot="1" x14ac:dyDescent="0.25">
      <c r="B9" s="3" t="s">
        <v>6</v>
      </c>
      <c r="C9" s="3">
        <v>18</v>
      </c>
      <c r="E9" s="135" t="s">
        <v>157</v>
      </c>
      <c r="F9" s="136"/>
      <c r="G9" s="136"/>
      <c r="H9" s="136"/>
      <c r="I9" s="137"/>
    </row>
    <row r="10" spans="2:9" x14ac:dyDescent="0.2">
      <c r="B10" s="3" t="s">
        <v>7</v>
      </c>
      <c r="C10" s="3">
        <v>5.5</v>
      </c>
      <c r="E10" s="60" t="s">
        <v>105</v>
      </c>
      <c r="F10" s="60" t="s">
        <v>106</v>
      </c>
      <c r="G10" s="77" t="s">
        <v>107</v>
      </c>
      <c r="H10" s="60" t="s">
        <v>104</v>
      </c>
      <c r="I10" s="60" t="s">
        <v>11</v>
      </c>
    </row>
    <row r="11" spans="2:9" x14ac:dyDescent="0.2">
      <c r="B11" s="93"/>
      <c r="C11" s="93"/>
      <c r="E11" s="56" t="s">
        <v>98</v>
      </c>
      <c r="F11" s="1">
        <f>ROUNDUP(Maintenance!G4/6,0)</f>
        <v>4</v>
      </c>
      <c r="G11" s="1">
        <f>ROUNDUP(1.5*F11,0)</f>
        <v>6</v>
      </c>
      <c r="H11" s="58">
        <v>39.799999999999997</v>
      </c>
      <c r="I11" s="12">
        <f>H11*G11</f>
        <v>238.79999999999998</v>
      </c>
    </row>
    <row r="12" spans="2:9" x14ac:dyDescent="0.2">
      <c r="B12" s="86"/>
      <c r="C12" s="86"/>
      <c r="E12" s="56" t="s">
        <v>99</v>
      </c>
      <c r="F12" s="1">
        <f>ROUNDUP(Maintenance!G5/6,0)</f>
        <v>6</v>
      </c>
      <c r="G12" s="1">
        <f t="shared" ref="G12:G16" si="0">ROUNDUP(1.5*F12,0)</f>
        <v>9</v>
      </c>
      <c r="H12" s="58">
        <v>25</v>
      </c>
      <c r="I12" s="12">
        <f t="shared" ref="I12:I15" si="1">H12*G12</f>
        <v>225</v>
      </c>
    </row>
    <row r="13" spans="2:9" ht="14.5" customHeight="1" x14ac:dyDescent="0.2">
      <c r="B13" s="138" t="s">
        <v>69</v>
      </c>
      <c r="C13" s="139"/>
      <c r="E13" s="56" t="s">
        <v>100</v>
      </c>
      <c r="F13" s="1">
        <f>ROUNDUP(Maintenance!G6/6,0)</f>
        <v>4</v>
      </c>
      <c r="G13" s="1">
        <f t="shared" si="0"/>
        <v>6</v>
      </c>
      <c r="H13" s="58">
        <v>105</v>
      </c>
      <c r="I13" s="12">
        <f t="shared" si="1"/>
        <v>630</v>
      </c>
    </row>
    <row r="14" spans="2:9" x14ac:dyDescent="0.2">
      <c r="B14" s="3" t="s">
        <v>88</v>
      </c>
      <c r="C14" s="12">
        <v>2500</v>
      </c>
      <c r="E14" s="56" t="s">
        <v>101</v>
      </c>
      <c r="F14" s="1">
        <f>ROUNDUP(Maintenance!G7/6,0)</f>
        <v>1</v>
      </c>
      <c r="G14" s="1">
        <f t="shared" si="0"/>
        <v>2</v>
      </c>
      <c r="H14" s="58">
        <v>240</v>
      </c>
      <c r="I14" s="12">
        <f t="shared" si="1"/>
        <v>480</v>
      </c>
    </row>
    <row r="15" spans="2:9" x14ac:dyDescent="0.2">
      <c r="B15" s="3" t="s">
        <v>186</v>
      </c>
      <c r="C15" s="12">
        <v>8</v>
      </c>
      <c r="E15" s="56" t="s">
        <v>102</v>
      </c>
      <c r="F15" s="1">
        <f>ROUNDUP(Maintenance!G8/6,0)</f>
        <v>3</v>
      </c>
      <c r="G15" s="1">
        <f t="shared" si="0"/>
        <v>5</v>
      </c>
      <c r="H15" s="58">
        <v>40</v>
      </c>
      <c r="I15" s="12">
        <f t="shared" si="1"/>
        <v>200</v>
      </c>
    </row>
    <row r="16" spans="2:9" x14ac:dyDescent="0.2">
      <c r="B16" s="3" t="s">
        <v>58</v>
      </c>
      <c r="C16" s="12">
        <v>100</v>
      </c>
      <c r="E16" s="56" t="s">
        <v>103</v>
      </c>
      <c r="F16" s="1">
        <f>ROUNDUP(Maintenance!G9/6,0)</f>
        <v>6</v>
      </c>
      <c r="G16" s="1">
        <f t="shared" si="0"/>
        <v>9</v>
      </c>
      <c r="H16" s="58">
        <v>25</v>
      </c>
      <c r="I16" s="12">
        <f>H16*G16</f>
        <v>225</v>
      </c>
    </row>
    <row r="17" spans="2:9" x14ac:dyDescent="0.2">
      <c r="B17" s="3" t="s">
        <v>59</v>
      </c>
      <c r="C17" s="12">
        <v>1000</v>
      </c>
      <c r="E17" s="56" t="s">
        <v>11</v>
      </c>
      <c r="F17" s="1"/>
      <c r="G17" s="1"/>
      <c r="H17" s="1"/>
      <c r="I17" s="12">
        <f>SUM(I11:I16)</f>
        <v>1998.8</v>
      </c>
    </row>
    <row r="19" spans="2:9" ht="16" x14ac:dyDescent="0.2">
      <c r="B19" s="140" t="s">
        <v>68</v>
      </c>
      <c r="C19" s="131"/>
    </row>
    <row r="20" spans="2:9" x14ac:dyDescent="0.2">
      <c r="B20" s="3" t="s">
        <v>63</v>
      </c>
      <c r="C20" s="3">
        <v>20</v>
      </c>
    </row>
    <row r="21" spans="2:9" x14ac:dyDescent="0.2">
      <c r="B21" s="3" t="s">
        <v>64</v>
      </c>
      <c r="C21" s="42">
        <v>6</v>
      </c>
    </row>
    <row r="22" spans="2:9" x14ac:dyDescent="0.2">
      <c r="B22" s="2" t="s">
        <v>65</v>
      </c>
      <c r="C22" s="12">
        <v>70</v>
      </c>
    </row>
    <row r="23" spans="2:9" x14ac:dyDescent="0.2">
      <c r="B23" s="2" t="s">
        <v>67</v>
      </c>
      <c r="C23" s="12">
        <v>15000</v>
      </c>
    </row>
    <row r="24" spans="2:9" x14ac:dyDescent="0.2">
      <c r="B24" s="45" t="s">
        <v>70</v>
      </c>
      <c r="C24" s="46">
        <v>1000</v>
      </c>
    </row>
    <row r="25" spans="2:9" x14ac:dyDescent="0.2">
      <c r="B25" s="47"/>
      <c r="C25" s="48"/>
    </row>
    <row r="26" spans="2:9" x14ac:dyDescent="0.2">
      <c r="B26" s="134" t="s">
        <v>74</v>
      </c>
      <c r="C26" s="134"/>
    </row>
    <row r="27" spans="2:9" x14ac:dyDescent="0.2">
      <c r="B27" s="1" t="s">
        <v>71</v>
      </c>
      <c r="C27" s="12">
        <v>45000</v>
      </c>
    </row>
    <row r="28" spans="2:9" x14ac:dyDescent="0.2">
      <c r="B28" s="1" t="s">
        <v>72</v>
      </c>
      <c r="C28" s="12">
        <v>18000</v>
      </c>
    </row>
    <row r="29" spans="2:9" x14ac:dyDescent="0.2">
      <c r="B29" s="1" t="s">
        <v>73</v>
      </c>
      <c r="C29" s="12">
        <v>12000</v>
      </c>
    </row>
    <row r="30" spans="2:9" x14ac:dyDescent="0.2">
      <c r="B30" s="1" t="s">
        <v>108</v>
      </c>
      <c r="C30" s="12">
        <v>6000</v>
      </c>
    </row>
    <row r="31" spans="2:9" x14ac:dyDescent="0.2">
      <c r="B31" s="1" t="s">
        <v>109</v>
      </c>
      <c r="C31" s="12">
        <v>3000</v>
      </c>
    </row>
    <row r="32" spans="2:9" x14ac:dyDescent="0.2">
      <c r="B32" s="1" t="s">
        <v>89</v>
      </c>
      <c r="C32" s="44">
        <v>0.1</v>
      </c>
    </row>
    <row r="34" spans="2:3" x14ac:dyDescent="0.2">
      <c r="B34" s="134" t="s">
        <v>185</v>
      </c>
      <c r="C34" s="134"/>
    </row>
    <row r="35" spans="2:3" x14ac:dyDescent="0.2">
      <c r="B35" s="3" t="s">
        <v>85</v>
      </c>
      <c r="C35" s="1">
        <v>0.5</v>
      </c>
    </row>
    <row r="36" spans="2:3" x14ac:dyDescent="0.2">
      <c r="B36" s="2" t="s">
        <v>65</v>
      </c>
      <c r="C36" s="1">
        <v>1</v>
      </c>
    </row>
    <row r="38" spans="2:3" x14ac:dyDescent="0.2">
      <c r="B38" s="134" t="s">
        <v>78</v>
      </c>
      <c r="C38" s="134"/>
    </row>
    <row r="39" spans="2:3" x14ac:dyDescent="0.2">
      <c r="B39" s="1" t="s">
        <v>75</v>
      </c>
      <c r="C39" s="12">
        <v>1500</v>
      </c>
    </row>
    <row r="40" spans="2:3" x14ac:dyDescent="0.2">
      <c r="B40" s="1" t="s">
        <v>76</v>
      </c>
      <c r="C40" s="12">
        <v>2500</v>
      </c>
    </row>
    <row r="41" spans="2:3" x14ac:dyDescent="0.2">
      <c r="B41" s="1" t="s">
        <v>81</v>
      </c>
      <c r="C41" s="12">
        <v>1000</v>
      </c>
    </row>
    <row r="42" spans="2:3" x14ac:dyDescent="0.2">
      <c r="B42" s="1" t="s">
        <v>77</v>
      </c>
      <c r="C42" s="12">
        <v>2000</v>
      </c>
    </row>
    <row r="43" spans="2:3" x14ac:dyDescent="0.2">
      <c r="B43" s="1" t="s">
        <v>80</v>
      </c>
      <c r="C43" s="12">
        <v>1500</v>
      </c>
    </row>
    <row r="44" spans="2:3" x14ac:dyDescent="0.2">
      <c r="B44" s="1" t="s">
        <v>79</v>
      </c>
      <c r="C44" s="12">
        <v>2500</v>
      </c>
    </row>
    <row r="46" spans="2:3" x14ac:dyDescent="0.2">
      <c r="B46" s="134" t="s">
        <v>190</v>
      </c>
      <c r="C46" s="134"/>
    </row>
    <row r="47" spans="2:3" x14ac:dyDescent="0.2">
      <c r="B47" s="1" t="s">
        <v>192</v>
      </c>
      <c r="C47" s="12">
        <v>210</v>
      </c>
    </row>
  </sheetData>
  <mergeCells count="10">
    <mergeCell ref="B2:C2"/>
    <mergeCell ref="E2:F2"/>
    <mergeCell ref="B6:C6"/>
    <mergeCell ref="B46:C46"/>
    <mergeCell ref="E9:I9"/>
    <mergeCell ref="B13:C13"/>
    <mergeCell ref="B34:C34"/>
    <mergeCell ref="B26:C26"/>
    <mergeCell ref="B38:C38"/>
    <mergeCell ref="B19:C19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FE4FD-5372-4920-8D3A-2456E7E15F04}">
  <dimension ref="B1:Z32"/>
  <sheetViews>
    <sheetView topLeftCell="A5" zoomScale="165" workbookViewId="0">
      <selection activeCell="G14" sqref="G14:H14"/>
    </sheetView>
  </sheetViews>
  <sheetFormatPr baseColWidth="10" defaultColWidth="8.83203125" defaultRowHeight="15" x14ac:dyDescent="0.2"/>
  <cols>
    <col min="2" max="2" width="23.6640625" bestFit="1" customWidth="1"/>
    <col min="3" max="3" width="10.6640625" customWidth="1"/>
    <col min="4" max="4" width="9.33203125" bestFit="1" customWidth="1"/>
    <col min="5" max="5" width="15.83203125" customWidth="1"/>
    <col min="6" max="6" width="13.1640625" bestFit="1" customWidth="1"/>
    <col min="7" max="7" width="14.33203125" bestFit="1" customWidth="1"/>
    <col min="8" max="8" width="13.83203125" bestFit="1" customWidth="1"/>
    <col min="9" max="9" width="12.1640625" bestFit="1" customWidth="1"/>
    <col min="12" max="12" width="9.6640625" bestFit="1" customWidth="1"/>
    <col min="13" max="13" width="13.83203125" bestFit="1" customWidth="1"/>
    <col min="14" max="14" width="14.5" bestFit="1" customWidth="1"/>
    <col min="15" max="15" width="14.6640625" bestFit="1" customWidth="1"/>
    <col min="16" max="16" width="12" bestFit="1" customWidth="1"/>
    <col min="17" max="17" width="9.83203125" customWidth="1"/>
    <col min="18" max="18" width="16.83203125" customWidth="1"/>
    <col min="19" max="19" width="15.1640625" bestFit="1" customWidth="1"/>
    <col min="20" max="20" width="14.83203125" customWidth="1"/>
    <col min="21" max="21" width="9.6640625" bestFit="1" customWidth="1"/>
    <col min="22" max="22" width="11.1640625" bestFit="1" customWidth="1"/>
    <col min="23" max="23" width="15.33203125" bestFit="1" customWidth="1"/>
    <col min="24" max="24" width="12.6640625" customWidth="1"/>
  </cols>
  <sheetData>
    <row r="1" spans="2:26" x14ac:dyDescent="0.2">
      <c r="M1" s="147" t="s">
        <v>53</v>
      </c>
      <c r="N1" s="147"/>
      <c r="O1" s="147"/>
      <c r="P1" s="147"/>
    </row>
    <row r="2" spans="2:26" x14ac:dyDescent="0.2">
      <c r="B2" s="145" t="s">
        <v>24</v>
      </c>
      <c r="C2" s="146"/>
      <c r="E2" s="148" t="s">
        <v>124</v>
      </c>
      <c r="F2" s="149"/>
      <c r="G2" s="149"/>
      <c r="H2" s="150"/>
      <c r="M2" s="39" t="s">
        <v>40</v>
      </c>
      <c r="N2" s="39" t="s">
        <v>41</v>
      </c>
      <c r="O2" s="39" t="s">
        <v>42</v>
      </c>
      <c r="P2" s="39" t="s">
        <v>43</v>
      </c>
      <c r="Q2" s="39" t="s">
        <v>44</v>
      </c>
      <c r="R2" s="39" t="s">
        <v>45</v>
      </c>
      <c r="S2" s="39" t="s">
        <v>46</v>
      </c>
      <c r="T2" s="39" t="s">
        <v>47</v>
      </c>
      <c r="U2" s="39" t="s">
        <v>48</v>
      </c>
      <c r="V2" s="39" t="s">
        <v>49</v>
      </c>
      <c r="W2" s="39" t="s">
        <v>50</v>
      </c>
      <c r="X2" s="39" t="s">
        <v>51</v>
      </c>
    </row>
    <row r="3" spans="2:26" x14ac:dyDescent="0.2">
      <c r="B3" s="16" t="s">
        <v>25</v>
      </c>
      <c r="C3" s="6">
        <v>100</v>
      </c>
      <c r="E3" s="3" t="s">
        <v>29</v>
      </c>
      <c r="F3" s="3" t="s">
        <v>27</v>
      </c>
      <c r="G3" s="3" t="s">
        <v>30</v>
      </c>
      <c r="H3" s="3" t="s">
        <v>0</v>
      </c>
      <c r="M3" s="3">
        <v>2432</v>
      </c>
      <c r="N3" s="40">
        <v>46379</v>
      </c>
      <c r="O3" s="3">
        <v>142</v>
      </c>
      <c r="P3" s="40">
        <v>46378</v>
      </c>
      <c r="Q3" s="3" t="s">
        <v>17</v>
      </c>
      <c r="R3" s="3">
        <v>1</v>
      </c>
      <c r="S3" s="41">
        <v>46379.523611111108</v>
      </c>
      <c r="T3" s="41">
        <v>46380.540972222225</v>
      </c>
      <c r="U3" s="3" t="s">
        <v>52</v>
      </c>
      <c r="V3" s="6">
        <v>39.799999999999997</v>
      </c>
      <c r="W3" s="3">
        <f>T3-S3</f>
        <v>1.0173611111167702</v>
      </c>
      <c r="X3" s="41">
        <v>46385.541666666664</v>
      </c>
      <c r="Y3" s="10"/>
      <c r="Z3" s="10"/>
    </row>
    <row r="4" spans="2:26" x14ac:dyDescent="0.2">
      <c r="B4" s="16" t="s">
        <v>31</v>
      </c>
      <c r="C4" s="19">
        <v>1</v>
      </c>
      <c r="E4" s="16" t="s">
        <v>17</v>
      </c>
      <c r="F4" s="4">
        <v>0.85</v>
      </c>
      <c r="G4" s="2">
        <f>(1-F4)*'Project Details'!$C$4</f>
        <v>22.500000000000004</v>
      </c>
      <c r="H4" s="24">
        <f t="shared" ref="H4:H9" si="0">C14*G4</f>
        <v>895.50000000000011</v>
      </c>
      <c r="M4" s="3">
        <v>2433</v>
      </c>
      <c r="N4" s="40">
        <v>46380</v>
      </c>
      <c r="O4" s="3">
        <v>143</v>
      </c>
      <c r="P4" s="40">
        <v>46379</v>
      </c>
      <c r="Q4" s="38" t="s">
        <v>20</v>
      </c>
      <c r="R4" s="3">
        <v>2</v>
      </c>
      <c r="S4" s="41">
        <v>46379.523611111108</v>
      </c>
      <c r="T4" s="41">
        <v>46380.540972222225</v>
      </c>
      <c r="U4" s="3" t="s">
        <v>54</v>
      </c>
      <c r="V4" s="33">
        <f>C15</f>
        <v>25</v>
      </c>
      <c r="W4" s="3">
        <f t="shared" ref="W4:W5" si="1">T4-S4</f>
        <v>1.0173611111167702</v>
      </c>
      <c r="X4" s="41">
        <v>46386.541666608799</v>
      </c>
    </row>
    <row r="5" spans="2:26" x14ac:dyDescent="0.2">
      <c r="B5" s="16" t="s">
        <v>32</v>
      </c>
      <c r="C5" s="2">
        <v>0.5</v>
      </c>
      <c r="E5" s="16" t="s">
        <v>20</v>
      </c>
      <c r="F5" s="4">
        <v>0.79</v>
      </c>
      <c r="G5" s="2">
        <f>(1-F5)*'Project Details'!$C$4</f>
        <v>31.499999999999993</v>
      </c>
      <c r="H5" s="24">
        <f t="shared" si="0"/>
        <v>787.49999999999977</v>
      </c>
      <c r="M5" s="3">
        <v>2434</v>
      </c>
      <c r="N5" s="40">
        <v>46381</v>
      </c>
      <c r="O5" s="3">
        <v>144</v>
      </c>
      <c r="P5" s="40">
        <v>46380</v>
      </c>
      <c r="Q5" s="38" t="s">
        <v>18</v>
      </c>
      <c r="R5" s="3">
        <v>3</v>
      </c>
      <c r="S5" s="41">
        <v>46379.523611111108</v>
      </c>
      <c r="T5" s="41">
        <v>46380.540972222225</v>
      </c>
      <c r="U5" s="3" t="s">
        <v>55</v>
      </c>
      <c r="V5" s="33">
        <f>C16</f>
        <v>105</v>
      </c>
      <c r="W5" s="3">
        <f t="shared" si="1"/>
        <v>1.0173611111167702</v>
      </c>
      <c r="X5" s="41">
        <v>46387.541666608799</v>
      </c>
    </row>
    <row r="6" spans="2:26" x14ac:dyDescent="0.2">
      <c r="B6" s="16" t="s">
        <v>33</v>
      </c>
      <c r="C6" s="21">
        <f>8760/C8</f>
        <v>69.523809523809518</v>
      </c>
      <c r="E6" s="16" t="s">
        <v>18</v>
      </c>
      <c r="F6" s="4">
        <v>0.85</v>
      </c>
      <c r="G6" s="2">
        <f>(1-F6)*'Project Details'!$C$4</f>
        <v>22.500000000000004</v>
      </c>
      <c r="H6" s="24">
        <f t="shared" si="0"/>
        <v>2362.5000000000005</v>
      </c>
    </row>
    <row r="7" spans="2:26" x14ac:dyDescent="0.2">
      <c r="B7" s="18" t="s">
        <v>35</v>
      </c>
      <c r="C7" s="21">
        <f>8760/C9</f>
        <v>14.025026318307971</v>
      </c>
      <c r="E7" s="16" t="s">
        <v>19</v>
      </c>
      <c r="F7" s="4">
        <v>0.99</v>
      </c>
      <c r="G7" s="2">
        <f>(1-F7)*'Project Details'!$C$4</f>
        <v>1.5000000000000013</v>
      </c>
      <c r="H7" s="24">
        <f t="shared" si="0"/>
        <v>360.00000000000034</v>
      </c>
      <c r="L7" s="34"/>
      <c r="M7" s="35"/>
      <c r="O7" s="36"/>
      <c r="R7" s="37"/>
      <c r="S7" s="37"/>
      <c r="W7" s="37"/>
    </row>
    <row r="8" spans="2:26" x14ac:dyDescent="0.2">
      <c r="B8" s="16" t="s">
        <v>34</v>
      </c>
      <c r="C8" s="21">
        <f>G10</f>
        <v>126</v>
      </c>
      <c r="E8" s="16" t="s">
        <v>113</v>
      </c>
      <c r="F8" s="4">
        <v>0.89</v>
      </c>
      <c r="G8" s="2">
        <f>(1-F8)*'Project Details'!$C$4</f>
        <v>16.499999999999996</v>
      </c>
      <c r="H8" s="24">
        <f t="shared" si="0"/>
        <v>659.99999999999989</v>
      </c>
      <c r="L8" s="34"/>
      <c r="M8" s="35"/>
      <c r="O8" s="36"/>
      <c r="R8" s="37"/>
      <c r="S8" s="37"/>
      <c r="W8" s="37"/>
    </row>
    <row r="9" spans="2:26" x14ac:dyDescent="0.2">
      <c r="B9" s="16" t="s">
        <v>37</v>
      </c>
      <c r="C9" s="21">
        <f>G21</f>
        <v>624.59775840597763</v>
      </c>
      <c r="E9" s="16" t="s">
        <v>22</v>
      </c>
      <c r="F9" s="4">
        <v>0.79</v>
      </c>
      <c r="G9" s="2">
        <f>(1-F9)*'Project Details'!$C$4</f>
        <v>31.499999999999993</v>
      </c>
      <c r="H9" s="24">
        <f t="shared" si="0"/>
        <v>787.49999999999977</v>
      </c>
      <c r="L9" s="34"/>
      <c r="M9" s="35"/>
      <c r="O9" s="36"/>
      <c r="R9" s="37"/>
      <c r="S9" s="37"/>
      <c r="W9" s="37"/>
    </row>
    <row r="10" spans="2:26" x14ac:dyDescent="0.2">
      <c r="B10" s="18" t="s">
        <v>26</v>
      </c>
      <c r="C10" s="20">
        <f>C4*C8+C9*C5</f>
        <v>438.29887920298881</v>
      </c>
      <c r="E10" s="25" t="s">
        <v>28</v>
      </c>
      <c r="F10" s="26">
        <f>AVERAGE(F4:F9)</f>
        <v>0.86</v>
      </c>
      <c r="G10" s="27">
        <f>SUM(G4:G9)</f>
        <v>126</v>
      </c>
      <c r="H10" s="28">
        <f>SUM(H4:H9)</f>
        <v>5853.0000000000009</v>
      </c>
      <c r="L10" s="34"/>
      <c r="M10" s="35"/>
      <c r="O10" s="36"/>
      <c r="R10" s="37"/>
      <c r="S10" s="37"/>
      <c r="W10" s="37"/>
    </row>
    <row r="11" spans="2:26" x14ac:dyDescent="0.2">
      <c r="B11" s="16" t="s">
        <v>4</v>
      </c>
      <c r="C11" s="6">
        <f>C10*C3</f>
        <v>43829.887920298883</v>
      </c>
      <c r="L11" s="34"/>
      <c r="M11" s="35"/>
      <c r="O11" s="36"/>
      <c r="R11" s="37"/>
      <c r="S11" s="37"/>
      <c r="W11" s="37"/>
    </row>
    <row r="12" spans="2:26" x14ac:dyDescent="0.2">
      <c r="L12" s="34"/>
    </row>
    <row r="13" spans="2:26" x14ac:dyDescent="0.2">
      <c r="B13" s="22" t="s">
        <v>21</v>
      </c>
      <c r="C13" s="23"/>
      <c r="E13" s="151" t="s">
        <v>125</v>
      </c>
      <c r="F13" s="151"/>
      <c r="G13" s="151"/>
      <c r="H13" s="151"/>
      <c r="I13" s="10"/>
      <c r="L13" s="34"/>
    </row>
    <row r="14" spans="2:26" x14ac:dyDescent="0.2">
      <c r="B14" s="16" t="s">
        <v>17</v>
      </c>
      <c r="C14" s="6">
        <v>39.799999999999997</v>
      </c>
      <c r="E14" s="152" t="s">
        <v>207</v>
      </c>
      <c r="F14" s="152"/>
      <c r="G14" s="155">
        <f>Usability!I4*12</f>
        <v>124629.04109589041</v>
      </c>
      <c r="H14" s="155"/>
      <c r="L14" s="34"/>
    </row>
    <row r="15" spans="2:26" x14ac:dyDescent="0.2">
      <c r="B15" s="16" t="s">
        <v>20</v>
      </c>
      <c r="C15" s="6">
        <v>25</v>
      </c>
      <c r="E15" s="3" t="s">
        <v>29</v>
      </c>
      <c r="F15" s="3" t="s">
        <v>205</v>
      </c>
      <c r="G15" s="3" t="s">
        <v>36</v>
      </c>
      <c r="H15" s="3" t="s">
        <v>0</v>
      </c>
      <c r="L15" s="34"/>
    </row>
    <row r="16" spans="2:26" x14ac:dyDescent="0.2">
      <c r="B16" s="16" t="s">
        <v>18</v>
      </c>
      <c r="C16" s="6">
        <v>105</v>
      </c>
      <c r="E16" s="16" t="s">
        <v>17</v>
      </c>
      <c r="F16" s="29">
        <v>450</v>
      </c>
      <c r="G16" s="31">
        <f>$G$14/F16</f>
        <v>276.95342465753424</v>
      </c>
      <c r="H16" s="24">
        <f>C14*G16</f>
        <v>11022.746301369862</v>
      </c>
      <c r="L16" s="10"/>
      <c r="M16" s="10"/>
    </row>
    <row r="17" spans="2:9" x14ac:dyDescent="0.2">
      <c r="B17" s="16" t="s">
        <v>19</v>
      </c>
      <c r="C17" s="6">
        <v>240</v>
      </c>
      <c r="E17" s="16" t="s">
        <v>20</v>
      </c>
      <c r="F17" s="29">
        <v>900</v>
      </c>
      <c r="G17" s="31">
        <f t="shared" ref="G17:G20" si="2">$G$14/F17</f>
        <v>138.47671232876712</v>
      </c>
      <c r="H17" s="24">
        <f>C15*G17</f>
        <v>3461.9178082191779</v>
      </c>
    </row>
    <row r="18" spans="2:9" x14ac:dyDescent="0.2">
      <c r="B18" s="16" t="s">
        <v>23</v>
      </c>
      <c r="C18" s="6">
        <v>40</v>
      </c>
      <c r="E18" s="16" t="s">
        <v>18</v>
      </c>
      <c r="F18" s="29">
        <v>1300</v>
      </c>
      <c r="G18" s="31">
        <f t="shared" si="2"/>
        <v>95.868493150684927</v>
      </c>
      <c r="H18" s="24">
        <f>C16*G18</f>
        <v>10066.191780821917</v>
      </c>
    </row>
    <row r="19" spans="2:9" x14ac:dyDescent="0.2">
      <c r="B19" s="16" t="s">
        <v>22</v>
      </c>
      <c r="C19" s="6">
        <v>25</v>
      </c>
      <c r="E19" s="16" t="s">
        <v>113</v>
      </c>
      <c r="F19" s="29">
        <v>2200</v>
      </c>
      <c r="G19" s="31">
        <f t="shared" si="2"/>
        <v>56.649564134495641</v>
      </c>
      <c r="H19" s="24">
        <f>C18*G19</f>
        <v>2265.9825653798257</v>
      </c>
    </row>
    <row r="20" spans="2:9" x14ac:dyDescent="0.2">
      <c r="E20" s="16" t="s">
        <v>22</v>
      </c>
      <c r="F20" s="29">
        <v>2200</v>
      </c>
      <c r="G20" s="31">
        <f t="shared" si="2"/>
        <v>56.649564134495641</v>
      </c>
      <c r="H20" s="24">
        <f>C19*G20</f>
        <v>1416.239103362391</v>
      </c>
    </row>
    <row r="21" spans="2:9" x14ac:dyDescent="0.2">
      <c r="B21" s="143" t="s">
        <v>158</v>
      </c>
      <c r="C21" s="144"/>
      <c r="E21" s="25" t="s">
        <v>28</v>
      </c>
      <c r="F21" s="30">
        <f>AVERAGE(F16:F20)</f>
        <v>1410</v>
      </c>
      <c r="G21" s="32">
        <f>SUM(G16:G20)</f>
        <v>624.59775840597763</v>
      </c>
      <c r="H21" s="28">
        <f>SUM(H16:H20)</f>
        <v>28233.077559153171</v>
      </c>
    </row>
    <row r="22" spans="2:9" ht="16" thickBot="1" x14ac:dyDescent="0.25">
      <c r="B22" s="16" t="s">
        <v>14</v>
      </c>
      <c r="C22" s="3">
        <v>2</v>
      </c>
      <c r="E22" s="153" t="s">
        <v>206</v>
      </c>
      <c r="F22" s="154"/>
    </row>
    <row r="23" spans="2:9" ht="16" thickBot="1" x14ac:dyDescent="0.25">
      <c r="B23" s="16" t="s">
        <v>16</v>
      </c>
      <c r="C23" s="17">
        <v>40000</v>
      </c>
      <c r="F23" s="141" t="s">
        <v>173</v>
      </c>
      <c r="G23" s="142"/>
    </row>
    <row r="24" spans="2:9" x14ac:dyDescent="0.2">
      <c r="B24" s="16" t="s">
        <v>187</v>
      </c>
      <c r="C24" s="17">
        <v>10000</v>
      </c>
      <c r="F24" s="91" t="s">
        <v>175</v>
      </c>
      <c r="G24" s="64">
        <f>(H10+H21)/12</f>
        <v>2840.5064632627641</v>
      </c>
    </row>
    <row r="25" spans="2:9" ht="16" thickBot="1" x14ac:dyDescent="0.25">
      <c r="B25" s="16" t="s">
        <v>11</v>
      </c>
      <c r="C25" s="17">
        <f>SUM(C23:C24)*C22</f>
        <v>100000</v>
      </c>
      <c r="F25" s="101" t="s">
        <v>174</v>
      </c>
      <c r="G25" s="68">
        <f>C11/12</f>
        <v>3652.4906600249069</v>
      </c>
      <c r="H25" s="85"/>
      <c r="I25" s="85"/>
    </row>
    <row r="26" spans="2:9" ht="16" thickTop="1" x14ac:dyDescent="0.2">
      <c r="F26" s="91" t="s">
        <v>11</v>
      </c>
      <c r="G26" s="64">
        <f>SUM(G24:G25)</f>
        <v>6492.9971232876705</v>
      </c>
      <c r="H26" s="88"/>
      <c r="I26" s="87"/>
    </row>
    <row r="27" spans="2:9" x14ac:dyDescent="0.2">
      <c r="H27" s="88"/>
      <c r="I27" s="87"/>
    </row>
    <row r="28" spans="2:9" x14ac:dyDescent="0.2">
      <c r="H28" s="88"/>
      <c r="I28" s="87"/>
    </row>
    <row r="29" spans="2:9" x14ac:dyDescent="0.2">
      <c r="H29" s="88"/>
      <c r="I29" s="87"/>
    </row>
    <row r="30" spans="2:9" x14ac:dyDescent="0.2">
      <c r="H30" s="88"/>
      <c r="I30" s="87"/>
    </row>
    <row r="32" spans="2:9" x14ac:dyDescent="0.2">
      <c r="H32" s="87"/>
    </row>
  </sheetData>
  <mergeCells count="9">
    <mergeCell ref="F23:G23"/>
    <mergeCell ref="B21:C21"/>
    <mergeCell ref="B2:C2"/>
    <mergeCell ref="M1:P1"/>
    <mergeCell ref="E2:H2"/>
    <mergeCell ref="E13:H13"/>
    <mergeCell ref="E14:F14"/>
    <mergeCell ref="E22:F22"/>
    <mergeCell ref="G14:H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44204-3640-4240-8328-E971BD5A440A}">
  <dimension ref="B2:I22"/>
  <sheetViews>
    <sheetView workbookViewId="0">
      <selection activeCell="C10" sqref="C10"/>
    </sheetView>
  </sheetViews>
  <sheetFormatPr baseColWidth="10" defaultColWidth="8.83203125" defaultRowHeight="15" x14ac:dyDescent="0.2"/>
  <cols>
    <col min="1" max="1" width="23.6640625" customWidth="1"/>
    <col min="2" max="2" width="24.5" customWidth="1"/>
    <col min="3" max="3" width="21.6640625" customWidth="1"/>
    <col min="4" max="4" width="27" customWidth="1"/>
    <col min="5" max="5" width="22.5" customWidth="1"/>
    <col min="7" max="7" width="16.5" customWidth="1"/>
    <col min="8" max="8" width="10.5" customWidth="1"/>
    <col min="9" max="9" width="11.83203125" customWidth="1"/>
    <col min="10" max="10" width="10.5" customWidth="1"/>
  </cols>
  <sheetData>
    <row r="2" spans="2:9" ht="16" thickBot="1" x14ac:dyDescent="0.25">
      <c r="B2" s="104" t="s">
        <v>126</v>
      </c>
      <c r="C2" s="104" t="s">
        <v>194</v>
      </c>
      <c r="D2" s="104" t="s">
        <v>127</v>
      </c>
      <c r="E2" s="104" t="s">
        <v>195</v>
      </c>
      <c r="H2" s="156" t="s">
        <v>152</v>
      </c>
      <c r="I2" s="156"/>
    </row>
    <row r="3" spans="2:9" x14ac:dyDescent="0.2">
      <c r="B3" s="91" t="s">
        <v>130</v>
      </c>
      <c r="C3" s="60">
        <v>12</v>
      </c>
      <c r="D3" s="91" t="s">
        <v>141</v>
      </c>
      <c r="E3" s="91" t="s">
        <v>134</v>
      </c>
      <c r="H3" s="91" t="s">
        <v>153</v>
      </c>
      <c r="I3" s="92">
        <f>($C$6/365)*30*C15</f>
        <v>13847.671232876712</v>
      </c>
    </row>
    <row r="4" spans="2:9" x14ac:dyDescent="0.2">
      <c r="B4" s="1" t="s">
        <v>129</v>
      </c>
      <c r="C4" s="2">
        <v>9</v>
      </c>
      <c r="D4" s="1" t="s">
        <v>133</v>
      </c>
      <c r="E4" s="1" t="s">
        <v>132</v>
      </c>
      <c r="H4" s="1" t="s">
        <v>154</v>
      </c>
      <c r="I4" s="90">
        <f>($C$6/365)*30*C16</f>
        <v>10385.753424657534</v>
      </c>
    </row>
    <row r="5" spans="2:9" x14ac:dyDescent="0.2">
      <c r="B5" s="1" t="s">
        <v>136</v>
      </c>
      <c r="C5" s="2">
        <v>5</v>
      </c>
      <c r="D5" s="1" t="s">
        <v>144</v>
      </c>
      <c r="E5" s="1" t="s">
        <v>132</v>
      </c>
      <c r="H5" s="1" t="s">
        <v>155</v>
      </c>
      <c r="I5" s="90">
        <f>I4/C18</f>
        <v>86.547945205479451</v>
      </c>
    </row>
    <row r="6" spans="2:9" x14ac:dyDescent="0.2">
      <c r="B6" s="1" t="s">
        <v>151</v>
      </c>
      <c r="C6" s="2">
        <f>ROUND(C4*4.33*C5,0)</f>
        <v>195</v>
      </c>
      <c r="D6" s="1" t="s">
        <v>139</v>
      </c>
      <c r="E6" s="1"/>
    </row>
    <row r="7" spans="2:9" x14ac:dyDescent="0.2">
      <c r="B7" s="1" t="s">
        <v>138</v>
      </c>
      <c r="C7" s="2">
        <v>5</v>
      </c>
      <c r="D7" s="1" t="s">
        <v>140</v>
      </c>
      <c r="E7" s="1" t="s">
        <v>137</v>
      </c>
    </row>
    <row r="8" spans="2:9" x14ac:dyDescent="0.2">
      <c r="B8" s="1" t="s">
        <v>128</v>
      </c>
      <c r="C8" s="2">
        <v>12000</v>
      </c>
      <c r="D8" s="1" t="s">
        <v>135</v>
      </c>
      <c r="E8" s="1" t="s">
        <v>132</v>
      </c>
    </row>
    <row r="9" spans="2:9" x14ac:dyDescent="0.2">
      <c r="B9" s="1" t="s">
        <v>131</v>
      </c>
      <c r="C9" s="89">
        <v>0.6</v>
      </c>
      <c r="D9" s="1" t="s">
        <v>149</v>
      </c>
      <c r="E9" s="1" t="s">
        <v>132</v>
      </c>
    </row>
    <row r="10" spans="2:9" x14ac:dyDescent="0.2">
      <c r="B10" s="1" t="s">
        <v>196</v>
      </c>
      <c r="C10" s="89">
        <f>'PROJECT ANALYSIS'!B3</f>
        <v>0.12</v>
      </c>
      <c r="D10" s="1" t="s">
        <v>148</v>
      </c>
      <c r="E10" s="1" t="s">
        <v>132</v>
      </c>
    </row>
    <row r="11" spans="2:9" x14ac:dyDescent="0.2">
      <c r="B11" s="1" t="s">
        <v>142</v>
      </c>
      <c r="C11" s="2">
        <v>0.75</v>
      </c>
      <c r="D11" s="1" t="s">
        <v>147</v>
      </c>
      <c r="E11" s="1" t="s">
        <v>132</v>
      </c>
    </row>
    <row r="12" spans="2:9" x14ac:dyDescent="0.2">
      <c r="B12" s="1" t="s">
        <v>160</v>
      </c>
      <c r="C12" s="2">
        <v>1</v>
      </c>
      <c r="D12" s="1" t="s">
        <v>143</v>
      </c>
      <c r="E12" s="1" t="s">
        <v>132</v>
      </c>
    </row>
    <row r="14" spans="2:9" x14ac:dyDescent="0.2">
      <c r="B14" s="1" t="s">
        <v>188</v>
      </c>
      <c r="C14" s="2">
        <f>C8*C9*C10</f>
        <v>864</v>
      </c>
    </row>
    <row r="15" spans="2:9" x14ac:dyDescent="0.2">
      <c r="B15" s="1" t="s">
        <v>145</v>
      </c>
      <c r="C15" s="2">
        <f>C14*C12</f>
        <v>864</v>
      </c>
    </row>
    <row r="16" spans="2:9" x14ac:dyDescent="0.2">
      <c r="B16" s="1" t="s">
        <v>146</v>
      </c>
      <c r="C16" s="3">
        <f>C11*C15</f>
        <v>648</v>
      </c>
    </row>
    <row r="18" spans="2:3" x14ac:dyDescent="0.2">
      <c r="B18" s="1" t="s">
        <v>162</v>
      </c>
      <c r="C18" s="59">
        <f>'Project Details'!C4*0.8</f>
        <v>120</v>
      </c>
    </row>
    <row r="20" spans="2:3" ht="16" thickBot="1" x14ac:dyDescent="0.25">
      <c r="B20" s="94" t="s">
        <v>150</v>
      </c>
      <c r="C20" s="95">
        <f>C16/C18</f>
        <v>5.4</v>
      </c>
    </row>
    <row r="21" spans="2:3" ht="16" thickTop="1" x14ac:dyDescent="0.2">
      <c r="B21" s="91" t="s">
        <v>159</v>
      </c>
      <c r="C21" s="60">
        <f>'Project Details'!C9</f>
        <v>18</v>
      </c>
    </row>
    <row r="22" spans="2:3" x14ac:dyDescent="0.2">
      <c r="B22" s="1" t="s">
        <v>161</v>
      </c>
      <c r="C22" s="4">
        <f>C20/C21</f>
        <v>0.30000000000000004</v>
      </c>
    </row>
  </sheetData>
  <mergeCells count="1">
    <mergeCell ref="H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074C4-8626-9345-9BAD-7A9BA375AB18}">
  <dimension ref="A1:B11"/>
  <sheetViews>
    <sheetView zoomScale="172" workbookViewId="0">
      <selection activeCell="B10" sqref="B10"/>
    </sheetView>
  </sheetViews>
  <sheetFormatPr baseColWidth="10" defaultRowHeight="15" x14ac:dyDescent="0.2"/>
  <cols>
    <col min="1" max="1" width="25" customWidth="1"/>
    <col min="2" max="2" width="17.6640625" customWidth="1"/>
  </cols>
  <sheetData>
    <row r="1" spans="1:2" ht="16" thickBot="1" x14ac:dyDescent="0.25">
      <c r="A1" s="116" t="s">
        <v>126</v>
      </c>
      <c r="B1" s="117" t="s">
        <v>171</v>
      </c>
    </row>
    <row r="2" spans="1:2" x14ac:dyDescent="0.2">
      <c r="A2" s="91" t="s">
        <v>164</v>
      </c>
      <c r="B2" s="92">
        <f>Usability!I4</f>
        <v>10385.753424657534</v>
      </c>
    </row>
    <row r="3" spans="1:2" x14ac:dyDescent="0.2">
      <c r="A3" s="1" t="s">
        <v>163</v>
      </c>
      <c r="B3" s="1">
        <f>'Project Details'!C9</f>
        <v>18</v>
      </c>
    </row>
    <row r="4" spans="1:2" x14ac:dyDescent="0.2">
      <c r="A4" s="1" t="s">
        <v>165</v>
      </c>
      <c r="B4" s="99">
        <f>B2/B3</f>
        <v>576.98630136986299</v>
      </c>
    </row>
    <row r="5" spans="1:2" x14ac:dyDescent="0.2">
      <c r="A5" s="1" t="s">
        <v>166</v>
      </c>
      <c r="B5" s="1">
        <v>0.24299999999999999</v>
      </c>
    </row>
    <row r="6" spans="1:2" x14ac:dyDescent="0.2">
      <c r="A6" s="1" t="s">
        <v>167</v>
      </c>
      <c r="B6" s="99">
        <f>B4*B5</f>
        <v>140.20767123287669</v>
      </c>
    </row>
    <row r="7" spans="1:2" x14ac:dyDescent="0.2">
      <c r="A7" s="1" t="s">
        <v>168</v>
      </c>
      <c r="B7" s="100">
        <v>0.4</v>
      </c>
    </row>
    <row r="8" spans="1:2" x14ac:dyDescent="0.2">
      <c r="A8" s="1" t="s">
        <v>169</v>
      </c>
      <c r="B8" s="44">
        <v>0.25</v>
      </c>
    </row>
    <row r="10" spans="1:2" ht="16" thickBot="1" x14ac:dyDescent="0.25">
      <c r="A10" s="101" t="s">
        <v>170</v>
      </c>
      <c r="B10" s="68">
        <f>B6*B7*(1+B8)</f>
        <v>70.103835616438346</v>
      </c>
    </row>
    <row r="11" spans="1:2" ht="16" thickTop="1" x14ac:dyDescent="0.2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3E13E-C864-5148-B7A1-8D00F8AC3CFB}">
  <dimension ref="A1:H24"/>
  <sheetViews>
    <sheetView zoomScale="165" workbookViewId="0">
      <selection activeCell="C11" sqref="C11"/>
    </sheetView>
  </sheetViews>
  <sheetFormatPr baseColWidth="10" defaultRowHeight="15" x14ac:dyDescent="0.2"/>
  <cols>
    <col min="1" max="2" width="18.83203125" customWidth="1"/>
    <col min="4" max="4" width="19.5" customWidth="1"/>
    <col min="5" max="5" width="20.5" customWidth="1"/>
  </cols>
  <sheetData>
    <row r="1" spans="1:8" x14ac:dyDescent="0.2">
      <c r="A1" s="157" t="s">
        <v>180</v>
      </c>
      <c r="B1" s="157"/>
      <c r="C1" s="157"/>
      <c r="D1" s="157"/>
      <c r="E1" s="157"/>
      <c r="F1" s="157"/>
      <c r="G1" s="157"/>
      <c r="H1" s="157"/>
    </row>
    <row r="2" spans="1:8" x14ac:dyDescent="0.2">
      <c r="A2" s="2" t="s">
        <v>91</v>
      </c>
      <c r="B2" s="2" t="s">
        <v>114</v>
      </c>
      <c r="C2" s="2" t="s">
        <v>93</v>
      </c>
      <c r="D2" s="2" t="s">
        <v>110</v>
      </c>
      <c r="E2" s="2" t="s">
        <v>111</v>
      </c>
      <c r="F2" s="1" t="s">
        <v>96</v>
      </c>
      <c r="G2" s="1" t="s">
        <v>95</v>
      </c>
      <c r="H2" s="1" t="s">
        <v>11</v>
      </c>
    </row>
    <row r="3" spans="1:8" x14ac:dyDescent="0.2">
      <c r="A3" s="2" t="s">
        <v>90</v>
      </c>
      <c r="B3" s="2" t="s">
        <v>115</v>
      </c>
      <c r="C3" s="59">
        <f>'Project Details'!C4</f>
        <v>150</v>
      </c>
      <c r="D3" s="65">
        <v>38</v>
      </c>
      <c r="E3" s="65">
        <f t="shared" ref="E3:E12" si="0">C3*D3</f>
        <v>5700</v>
      </c>
      <c r="F3" s="12">
        <v>0.42</v>
      </c>
      <c r="G3" s="12">
        <v>0</v>
      </c>
      <c r="H3" s="12">
        <f>F3*E3+G3</f>
        <v>2394</v>
      </c>
    </row>
    <row r="4" spans="1:8" x14ac:dyDescent="0.2">
      <c r="A4" s="56" t="s">
        <v>98</v>
      </c>
      <c r="B4" s="2" t="s">
        <v>115</v>
      </c>
      <c r="C4" s="59">
        <f>'Project Details'!G11</f>
        <v>6</v>
      </c>
      <c r="D4" s="65">
        <v>8</v>
      </c>
      <c r="E4" s="65">
        <f t="shared" si="0"/>
        <v>48</v>
      </c>
      <c r="F4" s="12">
        <v>0.42</v>
      </c>
      <c r="G4" s="12">
        <v>0</v>
      </c>
      <c r="H4" s="12">
        <f>F4*E4+G4</f>
        <v>20.16</v>
      </c>
    </row>
    <row r="5" spans="1:8" x14ac:dyDescent="0.2">
      <c r="A5" s="56" t="s">
        <v>99</v>
      </c>
      <c r="B5" s="2" t="s">
        <v>115</v>
      </c>
      <c r="C5" s="59">
        <f>'Project Details'!G12</f>
        <v>9</v>
      </c>
      <c r="D5" s="65">
        <v>1</v>
      </c>
      <c r="E5" s="65">
        <f t="shared" si="0"/>
        <v>9</v>
      </c>
      <c r="F5" s="12">
        <v>0.42</v>
      </c>
      <c r="G5" s="12">
        <v>0</v>
      </c>
      <c r="H5" s="12">
        <f t="shared" ref="H5:H12" si="1">F5*E5+G5</f>
        <v>3.78</v>
      </c>
    </row>
    <row r="6" spans="1:8" x14ac:dyDescent="0.2">
      <c r="A6" s="56" t="s">
        <v>100</v>
      </c>
      <c r="B6" s="2" t="s">
        <v>115</v>
      </c>
      <c r="C6" s="59">
        <f>'Project Details'!G13</f>
        <v>6</v>
      </c>
      <c r="D6" s="84">
        <v>5</v>
      </c>
      <c r="E6" s="65">
        <f t="shared" si="0"/>
        <v>30</v>
      </c>
      <c r="F6" s="12">
        <v>0.42</v>
      </c>
      <c r="G6" s="12">
        <v>0</v>
      </c>
      <c r="H6" s="12">
        <f t="shared" si="1"/>
        <v>12.6</v>
      </c>
    </row>
    <row r="7" spans="1:8" x14ac:dyDescent="0.2">
      <c r="A7" s="56" t="s">
        <v>101</v>
      </c>
      <c r="B7" s="2" t="s">
        <v>115</v>
      </c>
      <c r="C7" s="59">
        <f>'Project Details'!G14</f>
        <v>2</v>
      </c>
      <c r="D7" s="65">
        <v>20</v>
      </c>
      <c r="E7" s="65">
        <f t="shared" si="0"/>
        <v>40</v>
      </c>
      <c r="F7" s="12">
        <v>0.42</v>
      </c>
      <c r="G7" s="12">
        <v>0</v>
      </c>
      <c r="H7" s="12">
        <f t="shared" si="1"/>
        <v>16.8</v>
      </c>
    </row>
    <row r="8" spans="1:8" x14ac:dyDescent="0.2">
      <c r="A8" s="56" t="s">
        <v>112</v>
      </c>
      <c r="B8" s="2" t="s">
        <v>115</v>
      </c>
      <c r="C8" s="59">
        <f>'Project Details'!G15</f>
        <v>5</v>
      </c>
      <c r="D8" s="65">
        <v>3.5</v>
      </c>
      <c r="E8" s="65">
        <f t="shared" si="0"/>
        <v>17.5</v>
      </c>
      <c r="F8" s="12">
        <v>0.42</v>
      </c>
      <c r="G8" s="12">
        <v>0</v>
      </c>
      <c r="H8" s="12">
        <f t="shared" si="1"/>
        <v>7.35</v>
      </c>
    </row>
    <row r="9" spans="1:8" ht="16" thickBot="1" x14ac:dyDescent="0.25">
      <c r="A9" s="61" t="s">
        <v>103</v>
      </c>
      <c r="B9" s="62" t="s">
        <v>115</v>
      </c>
      <c r="C9" s="82">
        <f>'Project Details'!G16</f>
        <v>9</v>
      </c>
      <c r="D9" s="66">
        <v>0.5</v>
      </c>
      <c r="E9" s="66">
        <f t="shared" si="0"/>
        <v>4.5</v>
      </c>
      <c r="F9" s="63">
        <v>0.42</v>
      </c>
      <c r="G9" s="63">
        <v>100</v>
      </c>
      <c r="H9" s="63">
        <f t="shared" si="1"/>
        <v>101.89</v>
      </c>
    </row>
    <row r="10" spans="1:8" x14ac:dyDescent="0.2">
      <c r="A10" s="60" t="s">
        <v>92</v>
      </c>
      <c r="B10" s="57" t="s">
        <v>117</v>
      </c>
      <c r="C10" s="80">
        <f>'Project Details'!C4</f>
        <v>150</v>
      </c>
      <c r="D10" s="67">
        <v>1</v>
      </c>
      <c r="E10" s="67">
        <f t="shared" si="0"/>
        <v>150</v>
      </c>
      <c r="F10" s="64">
        <v>0.42</v>
      </c>
      <c r="G10" s="64">
        <v>100</v>
      </c>
      <c r="H10" s="64">
        <f t="shared" si="1"/>
        <v>163</v>
      </c>
    </row>
    <row r="11" spans="1:8" ht="16" thickBot="1" x14ac:dyDescent="0.25">
      <c r="A11" s="62" t="s">
        <v>94</v>
      </c>
      <c r="B11" s="61" t="s">
        <v>117</v>
      </c>
      <c r="C11" s="79">
        <f>'Project Details'!C21</f>
        <v>6</v>
      </c>
      <c r="D11" s="66">
        <v>450</v>
      </c>
      <c r="E11" s="66">
        <f t="shared" si="0"/>
        <v>2700</v>
      </c>
      <c r="F11" s="63">
        <v>0.42</v>
      </c>
      <c r="G11" s="63">
        <v>250</v>
      </c>
      <c r="H11" s="63">
        <f t="shared" si="1"/>
        <v>1384</v>
      </c>
    </row>
    <row r="12" spans="1:8" ht="16" thickBot="1" x14ac:dyDescent="0.25">
      <c r="A12" s="69" t="s">
        <v>58</v>
      </c>
      <c r="B12" s="70" t="s">
        <v>116</v>
      </c>
      <c r="C12" s="81">
        <f>'Project Details'!C4</f>
        <v>150</v>
      </c>
      <c r="D12" s="71">
        <v>0.5</v>
      </c>
      <c r="E12" s="67">
        <f t="shared" si="0"/>
        <v>75</v>
      </c>
      <c r="F12" s="72">
        <v>0.42</v>
      </c>
      <c r="G12" s="72">
        <v>100</v>
      </c>
      <c r="H12" s="72">
        <f t="shared" si="1"/>
        <v>131.5</v>
      </c>
    </row>
    <row r="13" spans="1:8" ht="17" thickTop="1" thickBot="1" x14ac:dyDescent="0.25">
      <c r="A13" s="73" t="s">
        <v>11</v>
      </c>
      <c r="B13" s="75"/>
      <c r="C13" s="76">
        <f>SUM(C3:C12)</f>
        <v>493</v>
      </c>
      <c r="D13" s="76"/>
      <c r="E13" s="76">
        <f>SUM(E1:E3)</f>
        <v>5700</v>
      </c>
      <c r="F13" s="75"/>
      <c r="G13" s="75"/>
      <c r="H13" s="74">
        <f>SUM(H3:H12)</f>
        <v>4235.08</v>
      </c>
    </row>
    <row r="15" spans="1:8" x14ac:dyDescent="0.2">
      <c r="D15" s="83"/>
    </row>
    <row r="16" spans="1:8" x14ac:dyDescent="0.2">
      <c r="A16" s="157" t="s">
        <v>179</v>
      </c>
      <c r="B16" s="157"/>
      <c r="C16" s="157"/>
      <c r="D16" s="157"/>
      <c r="E16" s="157"/>
      <c r="F16" s="157"/>
      <c r="G16" s="157"/>
      <c r="H16" s="157"/>
    </row>
    <row r="17" spans="1:8" x14ac:dyDescent="0.2">
      <c r="A17" s="2" t="s">
        <v>91</v>
      </c>
      <c r="B17" s="2" t="s">
        <v>114</v>
      </c>
      <c r="C17" s="2" t="s">
        <v>93</v>
      </c>
      <c r="D17" s="2" t="s">
        <v>110</v>
      </c>
      <c r="E17" s="2" t="s">
        <v>111</v>
      </c>
      <c r="F17" s="1" t="s">
        <v>96</v>
      </c>
      <c r="G17" s="1" t="s">
        <v>95</v>
      </c>
      <c r="H17" s="1" t="s">
        <v>11</v>
      </c>
    </row>
    <row r="18" spans="1:8" x14ac:dyDescent="0.2">
      <c r="A18" s="56" t="s">
        <v>98</v>
      </c>
      <c r="B18" s="2" t="s">
        <v>115</v>
      </c>
      <c r="C18" s="59">
        <f>(Maintenance!G4+Maintenance!G16)/12</f>
        <v>24.954452054794519</v>
      </c>
      <c r="D18" s="65">
        <v>8</v>
      </c>
      <c r="E18" s="65">
        <f t="shared" ref="E18:E23" si="2">C18*D18</f>
        <v>199.63561643835615</v>
      </c>
      <c r="F18" s="12">
        <v>0.42</v>
      </c>
      <c r="G18" s="12">
        <v>0</v>
      </c>
      <c r="H18" s="12">
        <f>F18*E18+G18</f>
        <v>83.846958904109584</v>
      </c>
    </row>
    <row r="19" spans="1:8" x14ac:dyDescent="0.2">
      <c r="A19" s="56" t="s">
        <v>99</v>
      </c>
      <c r="B19" s="2" t="s">
        <v>115</v>
      </c>
      <c r="C19" s="59">
        <f>(Maintenance!G5+Maintenance!G17)/12</f>
        <v>14.16472602739726</v>
      </c>
      <c r="D19" s="65">
        <v>1</v>
      </c>
      <c r="E19" s="65">
        <f t="shared" si="2"/>
        <v>14.16472602739726</v>
      </c>
      <c r="F19" s="12">
        <v>0.42</v>
      </c>
      <c r="G19" s="12">
        <v>0</v>
      </c>
      <c r="H19" s="12">
        <f t="shared" ref="H19:H23" si="3">F19*E19+G19</f>
        <v>5.9491849315068484</v>
      </c>
    </row>
    <row r="20" spans="1:8" x14ac:dyDescent="0.2">
      <c r="A20" s="56" t="s">
        <v>100</v>
      </c>
      <c r="B20" s="2" t="s">
        <v>115</v>
      </c>
      <c r="C20" s="59">
        <f>(Maintenance!G6+Maintenance!G18)/12</f>
        <v>9.8640410958904106</v>
      </c>
      <c r="D20" s="84">
        <v>5</v>
      </c>
      <c r="E20" s="65">
        <f t="shared" si="2"/>
        <v>49.320205479452056</v>
      </c>
      <c r="F20" s="12">
        <v>0.42</v>
      </c>
      <c r="G20" s="12">
        <v>0</v>
      </c>
      <c r="H20" s="12">
        <f t="shared" si="3"/>
        <v>20.714486301369863</v>
      </c>
    </row>
    <row r="21" spans="1:8" x14ac:dyDescent="0.2">
      <c r="A21" s="56" t="s">
        <v>101</v>
      </c>
      <c r="B21" s="2" t="s">
        <v>115</v>
      </c>
      <c r="C21" s="59">
        <f>(Maintenance!G7+Maintenance!G19)/12</f>
        <v>4.8457970112079698</v>
      </c>
      <c r="D21" s="65">
        <v>20</v>
      </c>
      <c r="E21" s="65">
        <f t="shared" si="2"/>
        <v>96.915940224159399</v>
      </c>
      <c r="F21" s="12">
        <v>0.42</v>
      </c>
      <c r="G21" s="12">
        <v>0</v>
      </c>
      <c r="H21" s="12">
        <f t="shared" si="3"/>
        <v>40.704694894146947</v>
      </c>
    </row>
    <row r="22" spans="1:8" x14ac:dyDescent="0.2">
      <c r="A22" s="56" t="s">
        <v>112</v>
      </c>
      <c r="B22" s="2" t="s">
        <v>115</v>
      </c>
      <c r="C22" s="59">
        <f>(Maintenance!G8+Maintenance!G20)/12</f>
        <v>6.0957970112079698</v>
      </c>
      <c r="D22" s="65">
        <v>3.5</v>
      </c>
      <c r="E22" s="65">
        <f t="shared" si="2"/>
        <v>21.335289539227894</v>
      </c>
      <c r="F22" s="12">
        <v>0.42</v>
      </c>
      <c r="G22" s="12">
        <v>0</v>
      </c>
      <c r="H22" s="12">
        <f t="shared" si="3"/>
        <v>8.9608216064757151</v>
      </c>
    </row>
    <row r="23" spans="1:8" ht="16" thickBot="1" x14ac:dyDescent="0.25">
      <c r="A23" s="105" t="s">
        <v>103</v>
      </c>
      <c r="B23" s="106" t="s">
        <v>115</v>
      </c>
      <c r="C23" s="107">
        <f>(Maintenance!G9+Maintenance!G21)/12</f>
        <v>54.674813200498136</v>
      </c>
      <c r="D23" s="108">
        <v>0.5</v>
      </c>
      <c r="E23" s="108">
        <f t="shared" si="2"/>
        <v>27.337406600249068</v>
      </c>
      <c r="F23" s="68">
        <v>0.42</v>
      </c>
      <c r="G23" s="68">
        <v>100</v>
      </c>
      <c r="H23" s="68">
        <f t="shared" si="3"/>
        <v>111.48171077210461</v>
      </c>
    </row>
    <row r="24" spans="1:8" ht="17" thickTop="1" thickBot="1" x14ac:dyDescent="0.25">
      <c r="A24" s="109" t="s">
        <v>11</v>
      </c>
      <c r="B24" s="75"/>
      <c r="C24" s="76">
        <f>SUM(C18:C23)</f>
        <v>114.59962640099627</v>
      </c>
      <c r="D24" s="75"/>
      <c r="E24" s="110">
        <f>SUM(E18:E23)</f>
        <v>408.70918430884183</v>
      </c>
      <c r="F24" s="75"/>
      <c r="G24" s="75"/>
      <c r="H24" s="111">
        <f>SUM(H18:H23)</f>
        <v>271.65785740971353</v>
      </c>
    </row>
  </sheetData>
  <mergeCells count="2">
    <mergeCell ref="A1:H1"/>
    <mergeCell ref="A16:H1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C8317-0DC3-294B-AFEB-B644E4633F11}">
  <dimension ref="B1:N64"/>
  <sheetViews>
    <sheetView topLeftCell="E1" zoomScale="106" zoomScaleNormal="63" workbookViewId="0">
      <selection activeCell="K16" sqref="K16"/>
    </sheetView>
  </sheetViews>
  <sheetFormatPr baseColWidth="10" defaultRowHeight="15" x14ac:dyDescent="0.2"/>
  <cols>
    <col min="2" max="2" width="27.5" customWidth="1"/>
    <col min="3" max="3" width="20.83203125" customWidth="1"/>
    <col min="4" max="4" width="27.1640625" customWidth="1"/>
    <col min="5" max="5" width="25.5" customWidth="1"/>
  </cols>
  <sheetData>
    <row r="1" spans="2:14" x14ac:dyDescent="0.2">
      <c r="B1" s="158" t="s">
        <v>9</v>
      </c>
      <c r="C1" s="158"/>
      <c r="F1" s="9"/>
      <c r="G1" s="159" t="s">
        <v>12</v>
      </c>
      <c r="H1" s="160"/>
      <c r="I1" s="10"/>
      <c r="J1" s="159" t="s">
        <v>120</v>
      </c>
      <c r="K1" s="160"/>
      <c r="L1" s="10"/>
      <c r="M1" s="159" t="s">
        <v>13</v>
      </c>
      <c r="N1" s="160"/>
    </row>
    <row r="2" spans="2:14" x14ac:dyDescent="0.2">
      <c r="B2" s="3" t="s">
        <v>84</v>
      </c>
      <c r="C2" s="11">
        <f>'Project Details'!C3*'Project Details'!C4*(1-'Project Details'!F3)</f>
        <v>40500</v>
      </c>
      <c r="G2" s="1" t="s">
        <v>10</v>
      </c>
      <c r="H2" s="1" t="s">
        <v>8</v>
      </c>
      <c r="J2" s="1" t="s">
        <v>10</v>
      </c>
      <c r="K2" s="1" t="s">
        <v>8</v>
      </c>
      <c r="M2" s="1" t="s">
        <v>10</v>
      </c>
      <c r="N2" s="1" t="s">
        <v>8</v>
      </c>
    </row>
    <row r="3" spans="2:14" x14ac:dyDescent="0.2">
      <c r="B3" s="2" t="s">
        <v>86</v>
      </c>
      <c r="C3" s="12">
        <f>'Project Details'!F7*'Project Details'!C4*SUM('Project Details'!C35:C36)</f>
        <v>22500</v>
      </c>
      <c r="F3" s="8"/>
      <c r="G3" s="1">
        <v>0</v>
      </c>
      <c r="H3" s="12">
        <f>--'CR Finance Options'!C10*0.25</f>
        <v>73158.47</v>
      </c>
      <c r="J3" s="1">
        <v>0</v>
      </c>
      <c r="K3" s="12">
        <f>'CR Finance Options'!C10*0.25</f>
        <v>73158.47</v>
      </c>
      <c r="M3" s="1">
        <v>0</v>
      </c>
      <c r="N3" s="12">
        <f>0.25*'CR Finance Options'!C10</f>
        <v>73158.47</v>
      </c>
    </row>
    <row r="4" spans="2:14" x14ac:dyDescent="0.2">
      <c r="B4" s="3" t="s">
        <v>62</v>
      </c>
      <c r="C4" s="12">
        <f>'Project Details'!C17+'Project Details'!C16*'Project Details'!C4</f>
        <v>16000</v>
      </c>
      <c r="F4" s="8"/>
      <c r="G4" s="1">
        <v>1</v>
      </c>
      <c r="H4" s="13">
        <f>'CR Finance Options'!$D$18</f>
        <v>4345.8761681346159</v>
      </c>
      <c r="J4" s="1">
        <v>1</v>
      </c>
      <c r="K4" s="13">
        <f>'CR Finance Options'!$D$17</f>
        <v>6676.8671951744136</v>
      </c>
      <c r="M4" s="1">
        <v>1</v>
      </c>
      <c r="N4" s="13">
        <f>'CR Finance Options'!$D$16</f>
        <v>18788.737164591359</v>
      </c>
    </row>
    <row r="5" spans="2:14" x14ac:dyDescent="0.2">
      <c r="B5" s="2" t="s">
        <v>87</v>
      </c>
      <c r="C5" s="12">
        <f>'Project Details'!C21*SUM('Project Details'!C23:C24)+'Project Details'!C22*'Project Details'!C4</f>
        <v>106500</v>
      </c>
      <c r="F5" s="8"/>
      <c r="G5" s="1">
        <v>2</v>
      </c>
      <c r="H5" s="13">
        <f>'CR Finance Options'!$D$18</f>
        <v>4345.8761681346159</v>
      </c>
      <c r="J5" s="1">
        <v>2</v>
      </c>
      <c r="K5" s="13">
        <f>'CR Finance Options'!$D$17</f>
        <v>6676.8671951744136</v>
      </c>
      <c r="M5" s="1">
        <v>2</v>
      </c>
      <c r="N5" s="13">
        <f>'CR Finance Options'!$D$16</f>
        <v>18788.737164591359</v>
      </c>
    </row>
    <row r="6" spans="2:14" x14ac:dyDescent="0.2">
      <c r="B6" s="3" t="s">
        <v>82</v>
      </c>
      <c r="C6" s="12">
        <f>(1+'Project Details'!C32)*SUM('Project Details'!C27:C31)</f>
        <v>92400.000000000015</v>
      </c>
      <c r="F6" s="8"/>
      <c r="G6" s="1">
        <v>3</v>
      </c>
      <c r="H6" s="13">
        <f>'CR Finance Options'!$D$18</f>
        <v>4345.8761681346159</v>
      </c>
      <c r="J6" s="1">
        <v>3</v>
      </c>
      <c r="K6" s="13">
        <f>'CR Finance Options'!$D$17</f>
        <v>6676.8671951744136</v>
      </c>
      <c r="M6" s="1">
        <v>3</v>
      </c>
      <c r="N6" s="13">
        <f>'CR Finance Options'!$D$16</f>
        <v>18788.737164591359</v>
      </c>
    </row>
    <row r="7" spans="2:14" x14ac:dyDescent="0.2">
      <c r="B7" s="3" t="s">
        <v>78</v>
      </c>
      <c r="C7" s="12">
        <f>SUM('Project Details'!C39:C43)</f>
        <v>8500</v>
      </c>
      <c r="F7" s="8"/>
      <c r="G7" s="1">
        <v>4</v>
      </c>
      <c r="H7" s="13">
        <f>'CR Finance Options'!$D$18</f>
        <v>4345.8761681346159</v>
      </c>
      <c r="J7" s="1">
        <v>4</v>
      </c>
      <c r="K7" s="13">
        <f>'CR Finance Options'!$D$17</f>
        <v>6676.8671951744136</v>
      </c>
      <c r="M7" s="1">
        <v>4</v>
      </c>
      <c r="N7" s="13">
        <f>'CR Finance Options'!$D$16</f>
        <v>18788.737164591359</v>
      </c>
    </row>
    <row r="8" spans="2:14" x14ac:dyDescent="0.2">
      <c r="B8" s="43" t="s">
        <v>97</v>
      </c>
      <c r="C8" s="12">
        <f>'Project Details'!I17</f>
        <v>1998.8</v>
      </c>
      <c r="F8" s="8"/>
      <c r="G8" s="1">
        <v>5</v>
      </c>
      <c r="H8" s="13">
        <f>'CR Finance Options'!$D$18</f>
        <v>4345.8761681346159</v>
      </c>
      <c r="J8" s="1">
        <v>5</v>
      </c>
      <c r="K8" s="13">
        <f>'CR Finance Options'!$D$17</f>
        <v>6676.8671951744136</v>
      </c>
      <c r="M8" s="1">
        <v>5</v>
      </c>
      <c r="N8" s="13">
        <f>'CR Finance Options'!$D$16</f>
        <v>18788.737164591359</v>
      </c>
    </row>
    <row r="9" spans="2:14" ht="16" thickBot="1" x14ac:dyDescent="0.25">
      <c r="B9" s="55" t="s">
        <v>66</v>
      </c>
      <c r="C9" s="68">
        <f>Shipping!H13</f>
        <v>4235.08</v>
      </c>
      <c r="F9" s="8"/>
      <c r="G9" s="1">
        <v>6</v>
      </c>
      <c r="H9" s="13">
        <f>'CR Finance Options'!$D$18</f>
        <v>4345.8761681346159</v>
      </c>
      <c r="J9" s="1">
        <v>6</v>
      </c>
      <c r="K9" s="13">
        <f>'CR Finance Options'!$D$17</f>
        <v>6676.8671951744136</v>
      </c>
      <c r="M9" s="1">
        <v>6</v>
      </c>
      <c r="N9" s="13">
        <f>'CR Finance Options'!$D$16</f>
        <v>18788.737164591359</v>
      </c>
    </row>
    <row r="10" spans="2:14" ht="16" thickTop="1" x14ac:dyDescent="0.2">
      <c r="B10" s="53" t="s">
        <v>11</v>
      </c>
      <c r="C10" s="54">
        <f>SUM(C2:C9)</f>
        <v>292633.88</v>
      </c>
      <c r="F10" s="8"/>
      <c r="G10" s="1">
        <v>7</v>
      </c>
      <c r="H10" s="13">
        <f>'CR Finance Options'!$D$18</f>
        <v>4345.8761681346159</v>
      </c>
      <c r="J10" s="1">
        <v>7</v>
      </c>
      <c r="K10" s="13">
        <f>'CR Finance Options'!$D$17</f>
        <v>6676.8671951744136</v>
      </c>
      <c r="M10" s="1">
        <v>7</v>
      </c>
      <c r="N10" s="13">
        <f>'CR Finance Options'!$D$16</f>
        <v>18788.737164591359</v>
      </c>
    </row>
    <row r="11" spans="2:14" x14ac:dyDescent="0.2">
      <c r="F11" s="8"/>
      <c r="G11" s="1">
        <v>8</v>
      </c>
      <c r="H11" s="13">
        <f>'CR Finance Options'!$D$18</f>
        <v>4345.8761681346159</v>
      </c>
      <c r="J11" s="1">
        <v>8</v>
      </c>
      <c r="K11" s="13">
        <f>'CR Finance Options'!$D$17</f>
        <v>6676.8671951744136</v>
      </c>
      <c r="M11" s="1">
        <v>8</v>
      </c>
      <c r="N11" s="13">
        <f>'CR Finance Options'!$D$16</f>
        <v>18788.737164591359</v>
      </c>
    </row>
    <row r="12" spans="2:14" x14ac:dyDescent="0.2">
      <c r="F12" s="8"/>
      <c r="G12" s="1">
        <v>9</v>
      </c>
      <c r="H12" s="13">
        <f>'CR Finance Options'!$D$18</f>
        <v>4345.8761681346159</v>
      </c>
      <c r="J12" s="1">
        <v>9</v>
      </c>
      <c r="K12" s="13">
        <f>'CR Finance Options'!$D$17</f>
        <v>6676.8671951744136</v>
      </c>
      <c r="M12" s="1">
        <v>9</v>
      </c>
      <c r="N12" s="13">
        <f>'CR Finance Options'!$D$16</f>
        <v>18788.737164591359</v>
      </c>
    </row>
    <row r="13" spans="2:14" x14ac:dyDescent="0.2">
      <c r="F13" s="8"/>
      <c r="G13" s="1">
        <v>10</v>
      </c>
      <c r="H13" s="13">
        <f>'CR Finance Options'!$D$18</f>
        <v>4345.8761681346159</v>
      </c>
      <c r="J13" s="1">
        <v>10</v>
      </c>
      <c r="K13" s="13">
        <f>'CR Finance Options'!$D$17</f>
        <v>6676.8671951744136</v>
      </c>
      <c r="M13" s="1">
        <v>10</v>
      </c>
      <c r="N13" s="13">
        <f>'CR Finance Options'!$D$16</f>
        <v>18788.737164591359</v>
      </c>
    </row>
    <row r="14" spans="2:14" x14ac:dyDescent="0.2">
      <c r="B14" s="161" t="s">
        <v>119</v>
      </c>
      <c r="C14" s="162"/>
      <c r="D14" s="162"/>
      <c r="E14" s="162"/>
      <c r="F14" s="8"/>
      <c r="G14" s="1">
        <v>11</v>
      </c>
      <c r="H14" s="13">
        <f>'CR Finance Options'!$D$18</f>
        <v>4345.8761681346159</v>
      </c>
      <c r="J14" s="1">
        <v>11</v>
      </c>
      <c r="K14" s="13">
        <f>'CR Finance Options'!$D$17</f>
        <v>6676.8671951744136</v>
      </c>
      <c r="M14" s="1">
        <v>11</v>
      </c>
      <c r="N14" s="13">
        <f>'CR Finance Options'!$D$16</f>
        <v>18788.737164591359</v>
      </c>
    </row>
    <row r="15" spans="2:14" x14ac:dyDescent="0.2">
      <c r="B15" s="3" t="s">
        <v>57</v>
      </c>
      <c r="C15" s="1" t="s">
        <v>121</v>
      </c>
      <c r="D15" s="1" t="s">
        <v>118</v>
      </c>
      <c r="E15" s="1" t="s">
        <v>123</v>
      </c>
      <c r="F15" s="8"/>
      <c r="G15" s="1">
        <v>12</v>
      </c>
      <c r="H15" s="13">
        <f>'CR Finance Options'!$D$18</f>
        <v>4345.8761681346159</v>
      </c>
      <c r="J15" s="1">
        <v>12</v>
      </c>
      <c r="K15" s="13">
        <f>'CR Finance Options'!$D$17</f>
        <v>6676.8671951744136</v>
      </c>
      <c r="M15" s="1">
        <v>12</v>
      </c>
      <c r="N15" s="13">
        <f>'CR Finance Options'!$D$16</f>
        <v>18788.737164591359</v>
      </c>
    </row>
    <row r="16" spans="2:14" x14ac:dyDescent="0.2">
      <c r="B16" s="1">
        <v>1</v>
      </c>
      <c r="C16" s="78">
        <v>0.05</v>
      </c>
      <c r="D16" s="13">
        <f>-PMT(C16/12,B16*12,'CR Finance Options'!$C$10*0.75)</f>
        <v>18788.737164591359</v>
      </c>
      <c r="E16" s="11">
        <f>N64</f>
        <v>289470.53020071017</v>
      </c>
      <c r="F16" s="8"/>
      <c r="G16" s="1">
        <v>13</v>
      </c>
      <c r="H16" s="13">
        <f>'CR Finance Options'!$D$18</f>
        <v>4345.8761681346159</v>
      </c>
      <c r="J16" s="1">
        <v>13</v>
      </c>
      <c r="K16" s="13">
        <f>'CR Finance Options'!$D$17</f>
        <v>6676.8671951744136</v>
      </c>
      <c r="M16" s="1">
        <v>13</v>
      </c>
      <c r="N16" s="12">
        <v>0</v>
      </c>
    </row>
    <row r="17" spans="2:14" x14ac:dyDescent="0.2">
      <c r="B17" s="1">
        <v>3</v>
      </c>
      <c r="C17" s="78">
        <v>0.06</v>
      </c>
      <c r="D17" s="13">
        <f>-PMT(C17/12,B17*12,'CR Finance Options'!$C$10*0.75)</f>
        <v>6676.8671951744136</v>
      </c>
      <c r="E17" s="11">
        <f>K64</f>
        <v>287107.5381734338</v>
      </c>
      <c r="F17" s="8"/>
      <c r="G17" s="1">
        <v>14</v>
      </c>
      <c r="H17" s="13">
        <f>'CR Finance Options'!$D$18</f>
        <v>4345.8761681346159</v>
      </c>
      <c r="J17" s="1">
        <v>14</v>
      </c>
      <c r="K17" s="13">
        <f>'CR Finance Options'!$D$17</f>
        <v>6676.8671951744136</v>
      </c>
      <c r="M17" s="1">
        <v>14</v>
      </c>
      <c r="N17" s="12">
        <v>0</v>
      </c>
    </row>
    <row r="18" spans="2:14" x14ac:dyDescent="0.2">
      <c r="B18" s="1">
        <v>5</v>
      </c>
      <c r="C18" s="78">
        <v>7.0000000000000007E-2</v>
      </c>
      <c r="D18" s="13">
        <f>-PMT(C18/12,B18*12,'CR Finance Options'!$C$10*0.75)</f>
        <v>4345.8761681346159</v>
      </c>
      <c r="E18" s="11">
        <f>H64</f>
        <v>288909.07234090474</v>
      </c>
      <c r="F18" s="8"/>
      <c r="G18" s="1">
        <v>15</v>
      </c>
      <c r="H18" s="13">
        <f>'CR Finance Options'!$D$18</f>
        <v>4345.8761681346159</v>
      </c>
      <c r="J18" s="1">
        <v>15</v>
      </c>
      <c r="K18" s="13">
        <f>'CR Finance Options'!$D$17</f>
        <v>6676.8671951744136</v>
      </c>
      <c r="M18" s="1">
        <v>15</v>
      </c>
      <c r="N18" s="12">
        <v>0</v>
      </c>
    </row>
    <row r="19" spans="2:14" x14ac:dyDescent="0.2">
      <c r="F19" s="8"/>
      <c r="G19" s="1">
        <v>16</v>
      </c>
      <c r="H19" s="13">
        <f>'CR Finance Options'!$D$18</f>
        <v>4345.8761681346159</v>
      </c>
      <c r="J19" s="1">
        <v>16</v>
      </c>
      <c r="K19" s="13">
        <f>'CR Finance Options'!$D$17</f>
        <v>6676.8671951744136</v>
      </c>
      <c r="M19" s="1">
        <v>16</v>
      </c>
      <c r="N19" s="12">
        <v>0</v>
      </c>
    </row>
    <row r="20" spans="2:14" x14ac:dyDescent="0.2">
      <c r="F20" s="8"/>
      <c r="G20" s="1">
        <v>17</v>
      </c>
      <c r="H20" s="13">
        <f>'CR Finance Options'!$D$18</f>
        <v>4345.8761681346159</v>
      </c>
      <c r="J20" s="1">
        <v>17</v>
      </c>
      <c r="K20" s="13">
        <f>'CR Finance Options'!$D$17</f>
        <v>6676.8671951744136</v>
      </c>
      <c r="M20" s="1">
        <v>17</v>
      </c>
      <c r="N20" s="12">
        <v>0</v>
      </c>
    </row>
    <row r="21" spans="2:14" ht="16" thickBot="1" x14ac:dyDescent="0.25">
      <c r="F21" s="8"/>
      <c r="G21" s="1">
        <v>18</v>
      </c>
      <c r="H21" s="13">
        <f>'CR Finance Options'!$D$18</f>
        <v>4345.8761681346159</v>
      </c>
      <c r="J21" s="1">
        <v>18</v>
      </c>
      <c r="K21" s="13">
        <f>'CR Finance Options'!$D$17</f>
        <v>6676.8671951744136</v>
      </c>
      <c r="M21" s="1">
        <v>18</v>
      </c>
      <c r="N21" s="12">
        <v>0</v>
      </c>
    </row>
    <row r="22" spans="2:14" ht="16" thickBot="1" x14ac:dyDescent="0.25">
      <c r="D22" s="102" t="s">
        <v>172</v>
      </c>
      <c r="E22" s="103">
        <f>_xlfn.XLOOKUP(MIN(E16:E18),E16:E18,B16:B18)</f>
        <v>3</v>
      </c>
      <c r="F22" s="8"/>
      <c r="G22" s="1">
        <v>19</v>
      </c>
      <c r="H22" s="13">
        <f>'CR Finance Options'!$D$18</f>
        <v>4345.8761681346159</v>
      </c>
      <c r="J22" s="1">
        <v>19</v>
      </c>
      <c r="K22" s="13">
        <f>'CR Finance Options'!$D$17</f>
        <v>6676.8671951744136</v>
      </c>
      <c r="M22" s="1">
        <v>19</v>
      </c>
      <c r="N22" s="12">
        <v>0</v>
      </c>
    </row>
    <row r="23" spans="2:14" x14ac:dyDescent="0.2">
      <c r="F23" s="8"/>
      <c r="G23" s="1">
        <v>20</v>
      </c>
      <c r="H23" s="13">
        <f>'CR Finance Options'!$D$18</f>
        <v>4345.8761681346159</v>
      </c>
      <c r="J23" s="1">
        <v>20</v>
      </c>
      <c r="K23" s="13">
        <f>'CR Finance Options'!$D$17</f>
        <v>6676.8671951744136</v>
      </c>
      <c r="M23" s="1">
        <v>20</v>
      </c>
      <c r="N23" s="12">
        <v>0</v>
      </c>
    </row>
    <row r="24" spans="2:14" x14ac:dyDescent="0.2">
      <c r="F24" s="8"/>
      <c r="G24" s="1">
        <v>21</v>
      </c>
      <c r="H24" s="13">
        <f>'CR Finance Options'!$D$18</f>
        <v>4345.8761681346159</v>
      </c>
      <c r="J24" s="1">
        <v>21</v>
      </c>
      <c r="K24" s="13">
        <f>'CR Finance Options'!$D$17</f>
        <v>6676.8671951744136</v>
      </c>
      <c r="M24" s="1">
        <v>21</v>
      </c>
      <c r="N24" s="12">
        <v>0</v>
      </c>
    </row>
    <row r="25" spans="2:14" x14ac:dyDescent="0.2">
      <c r="F25" s="8"/>
      <c r="G25" s="1">
        <v>22</v>
      </c>
      <c r="H25" s="13">
        <f>'CR Finance Options'!$D$18</f>
        <v>4345.8761681346159</v>
      </c>
      <c r="J25" s="1">
        <v>22</v>
      </c>
      <c r="K25" s="13">
        <f>'CR Finance Options'!$D$17</f>
        <v>6676.8671951744136</v>
      </c>
      <c r="M25" s="1">
        <v>22</v>
      </c>
      <c r="N25" s="12">
        <v>0</v>
      </c>
    </row>
    <row r="26" spans="2:14" x14ac:dyDescent="0.2">
      <c r="F26" s="8"/>
      <c r="G26" s="1">
        <v>23</v>
      </c>
      <c r="H26" s="13">
        <f>'CR Finance Options'!$D$18</f>
        <v>4345.8761681346159</v>
      </c>
      <c r="J26" s="1">
        <v>23</v>
      </c>
      <c r="K26" s="13">
        <f>'CR Finance Options'!$D$17</f>
        <v>6676.8671951744136</v>
      </c>
      <c r="M26" s="1">
        <v>23</v>
      </c>
      <c r="N26" s="12">
        <v>0</v>
      </c>
    </row>
    <row r="27" spans="2:14" x14ac:dyDescent="0.2">
      <c r="F27" s="8"/>
      <c r="G27" s="1">
        <v>24</v>
      </c>
      <c r="H27" s="13">
        <f>'CR Finance Options'!$D$18</f>
        <v>4345.8761681346159</v>
      </c>
      <c r="J27" s="1">
        <v>24</v>
      </c>
      <c r="K27" s="13">
        <f>'CR Finance Options'!$D$17</f>
        <v>6676.8671951744136</v>
      </c>
      <c r="M27" s="1">
        <v>24</v>
      </c>
      <c r="N27" s="12">
        <v>0</v>
      </c>
    </row>
    <row r="28" spans="2:14" x14ac:dyDescent="0.2">
      <c r="F28" s="8"/>
      <c r="G28" s="1">
        <v>25</v>
      </c>
      <c r="H28" s="13">
        <f>'CR Finance Options'!$D$18</f>
        <v>4345.8761681346159</v>
      </c>
      <c r="J28" s="1">
        <v>25</v>
      </c>
      <c r="K28" s="13">
        <f>'CR Finance Options'!$D$17</f>
        <v>6676.8671951744136</v>
      </c>
      <c r="M28" s="1">
        <v>25</v>
      </c>
      <c r="N28" s="12">
        <v>0</v>
      </c>
    </row>
    <row r="29" spans="2:14" x14ac:dyDescent="0.2">
      <c r="F29" s="8"/>
      <c r="G29" s="1">
        <v>26</v>
      </c>
      <c r="H29" s="13">
        <f>'CR Finance Options'!$D$18</f>
        <v>4345.8761681346159</v>
      </c>
      <c r="J29" s="1">
        <v>26</v>
      </c>
      <c r="K29" s="13">
        <f>'CR Finance Options'!$D$17</f>
        <v>6676.8671951744136</v>
      </c>
      <c r="M29" s="1">
        <v>26</v>
      </c>
      <c r="N29" s="12">
        <v>0</v>
      </c>
    </row>
    <row r="30" spans="2:14" x14ac:dyDescent="0.2">
      <c r="F30" s="8"/>
      <c r="G30" s="1">
        <v>27</v>
      </c>
      <c r="H30" s="13">
        <f>'CR Finance Options'!$D$18</f>
        <v>4345.8761681346159</v>
      </c>
      <c r="J30" s="1">
        <v>27</v>
      </c>
      <c r="K30" s="13">
        <f>'CR Finance Options'!$D$17</f>
        <v>6676.8671951744136</v>
      </c>
      <c r="M30" s="1">
        <v>27</v>
      </c>
      <c r="N30" s="12">
        <v>0</v>
      </c>
    </row>
    <row r="31" spans="2:14" x14ac:dyDescent="0.2">
      <c r="F31" s="8"/>
      <c r="G31" s="1">
        <v>28</v>
      </c>
      <c r="H31" s="13">
        <f>'CR Finance Options'!$D$18</f>
        <v>4345.8761681346159</v>
      </c>
      <c r="J31" s="1">
        <v>28</v>
      </c>
      <c r="K31" s="13">
        <f>'CR Finance Options'!$D$17</f>
        <v>6676.8671951744136</v>
      </c>
      <c r="M31" s="1">
        <v>28</v>
      </c>
      <c r="N31" s="12">
        <v>0</v>
      </c>
    </row>
    <row r="32" spans="2:14" x14ac:dyDescent="0.2">
      <c r="F32" s="8"/>
      <c r="G32" s="1">
        <v>29</v>
      </c>
      <c r="H32" s="13">
        <f>'CR Finance Options'!$D$18</f>
        <v>4345.8761681346159</v>
      </c>
      <c r="J32" s="1">
        <v>29</v>
      </c>
      <c r="K32" s="13">
        <f>'CR Finance Options'!$D$17</f>
        <v>6676.8671951744136</v>
      </c>
      <c r="M32" s="1">
        <v>29</v>
      </c>
      <c r="N32" s="12">
        <v>0</v>
      </c>
    </row>
    <row r="33" spans="6:14" x14ac:dyDescent="0.2">
      <c r="F33" s="8"/>
      <c r="G33" s="1">
        <v>30</v>
      </c>
      <c r="H33" s="13">
        <f>'CR Finance Options'!$D$18</f>
        <v>4345.8761681346159</v>
      </c>
      <c r="J33" s="1">
        <v>30</v>
      </c>
      <c r="K33" s="13">
        <f>'CR Finance Options'!$D$17</f>
        <v>6676.8671951744136</v>
      </c>
      <c r="M33" s="1">
        <v>30</v>
      </c>
      <c r="N33" s="12">
        <v>0</v>
      </c>
    </row>
    <row r="34" spans="6:14" x14ac:dyDescent="0.2">
      <c r="F34" s="8"/>
      <c r="G34" s="1">
        <v>31</v>
      </c>
      <c r="H34" s="13">
        <f>'CR Finance Options'!$D$18</f>
        <v>4345.8761681346159</v>
      </c>
      <c r="J34" s="1">
        <v>31</v>
      </c>
      <c r="K34" s="13">
        <f>'CR Finance Options'!$D$17</f>
        <v>6676.8671951744136</v>
      </c>
      <c r="M34" s="1">
        <v>31</v>
      </c>
      <c r="N34" s="12">
        <v>0</v>
      </c>
    </row>
    <row r="35" spans="6:14" x14ac:dyDescent="0.2">
      <c r="F35" s="8"/>
      <c r="G35" s="1">
        <v>32</v>
      </c>
      <c r="H35" s="13">
        <f>'CR Finance Options'!$D$18</f>
        <v>4345.8761681346159</v>
      </c>
      <c r="J35" s="1">
        <v>32</v>
      </c>
      <c r="K35" s="13">
        <f>'CR Finance Options'!$D$17</f>
        <v>6676.8671951744136</v>
      </c>
      <c r="M35" s="1">
        <v>32</v>
      </c>
      <c r="N35" s="12">
        <v>0</v>
      </c>
    </row>
    <row r="36" spans="6:14" x14ac:dyDescent="0.2">
      <c r="F36" s="8"/>
      <c r="G36" s="1">
        <v>33</v>
      </c>
      <c r="H36" s="13">
        <f>'CR Finance Options'!$D$18</f>
        <v>4345.8761681346159</v>
      </c>
      <c r="J36" s="1">
        <v>33</v>
      </c>
      <c r="K36" s="13">
        <f>'CR Finance Options'!$D$17</f>
        <v>6676.8671951744136</v>
      </c>
      <c r="M36" s="1">
        <v>33</v>
      </c>
      <c r="N36" s="12">
        <v>0</v>
      </c>
    </row>
    <row r="37" spans="6:14" x14ac:dyDescent="0.2">
      <c r="F37" s="8"/>
      <c r="G37" s="1">
        <v>34</v>
      </c>
      <c r="H37" s="13">
        <f>'CR Finance Options'!$D$18</f>
        <v>4345.8761681346159</v>
      </c>
      <c r="J37" s="1">
        <v>34</v>
      </c>
      <c r="K37" s="13">
        <f>'CR Finance Options'!$D$17</f>
        <v>6676.8671951744136</v>
      </c>
      <c r="M37" s="1">
        <v>34</v>
      </c>
      <c r="N37" s="12">
        <v>0</v>
      </c>
    </row>
    <row r="38" spans="6:14" x14ac:dyDescent="0.2">
      <c r="F38" s="8"/>
      <c r="G38" s="1">
        <v>35</v>
      </c>
      <c r="H38" s="13">
        <f>'CR Finance Options'!$D$18</f>
        <v>4345.8761681346159</v>
      </c>
      <c r="J38" s="1">
        <v>35</v>
      </c>
      <c r="K38" s="13">
        <f>'CR Finance Options'!$D$17</f>
        <v>6676.8671951744136</v>
      </c>
      <c r="M38" s="1">
        <v>35</v>
      </c>
      <c r="N38" s="12">
        <v>0</v>
      </c>
    </row>
    <row r="39" spans="6:14" x14ac:dyDescent="0.2">
      <c r="F39" s="8"/>
      <c r="G39" s="1">
        <v>36</v>
      </c>
      <c r="H39" s="13">
        <f>'CR Finance Options'!$D$18</f>
        <v>4345.8761681346159</v>
      </c>
      <c r="J39" s="1">
        <v>36</v>
      </c>
      <c r="K39" s="13">
        <f>'CR Finance Options'!$D$17</f>
        <v>6676.8671951744136</v>
      </c>
      <c r="M39" s="1">
        <v>36</v>
      </c>
      <c r="N39" s="12">
        <v>0</v>
      </c>
    </row>
    <row r="40" spans="6:14" x14ac:dyDescent="0.2">
      <c r="F40" s="8"/>
      <c r="G40" s="1">
        <v>37</v>
      </c>
      <c r="H40" s="13">
        <f>'CR Finance Options'!$D$18</f>
        <v>4345.8761681346159</v>
      </c>
      <c r="J40" s="1">
        <v>37</v>
      </c>
      <c r="K40" s="13">
        <v>0</v>
      </c>
      <c r="M40" s="1">
        <v>37</v>
      </c>
      <c r="N40" s="12">
        <v>0</v>
      </c>
    </row>
    <row r="41" spans="6:14" x14ac:dyDescent="0.2">
      <c r="F41" s="8"/>
      <c r="G41" s="1">
        <v>38</v>
      </c>
      <c r="H41" s="13">
        <f>'CR Finance Options'!$D$18</f>
        <v>4345.8761681346159</v>
      </c>
      <c r="J41" s="1">
        <v>38</v>
      </c>
      <c r="K41" s="13">
        <v>0</v>
      </c>
      <c r="M41" s="1">
        <v>38</v>
      </c>
      <c r="N41" s="12">
        <v>0</v>
      </c>
    </row>
    <row r="42" spans="6:14" x14ac:dyDescent="0.2">
      <c r="F42" s="8"/>
      <c r="G42" s="1">
        <v>39</v>
      </c>
      <c r="H42" s="13">
        <f>'CR Finance Options'!$D$18</f>
        <v>4345.8761681346159</v>
      </c>
      <c r="J42" s="1">
        <v>39</v>
      </c>
      <c r="K42" s="13">
        <v>0</v>
      </c>
      <c r="M42" s="1">
        <v>39</v>
      </c>
      <c r="N42" s="12">
        <v>0</v>
      </c>
    </row>
    <row r="43" spans="6:14" x14ac:dyDescent="0.2">
      <c r="F43" s="8"/>
      <c r="G43" s="1">
        <v>40</v>
      </c>
      <c r="H43" s="13">
        <f>'CR Finance Options'!$D$18</f>
        <v>4345.8761681346159</v>
      </c>
      <c r="J43" s="1">
        <v>40</v>
      </c>
      <c r="K43" s="13">
        <v>0</v>
      </c>
      <c r="M43" s="1">
        <v>40</v>
      </c>
      <c r="N43" s="12">
        <v>0</v>
      </c>
    </row>
    <row r="44" spans="6:14" x14ac:dyDescent="0.2">
      <c r="F44" s="8"/>
      <c r="G44" s="1">
        <v>41</v>
      </c>
      <c r="H44" s="13">
        <f>'CR Finance Options'!$D$18</f>
        <v>4345.8761681346159</v>
      </c>
      <c r="J44" s="1">
        <v>41</v>
      </c>
      <c r="K44" s="13">
        <v>0</v>
      </c>
      <c r="M44" s="1">
        <v>41</v>
      </c>
      <c r="N44" s="12">
        <v>0</v>
      </c>
    </row>
    <row r="45" spans="6:14" x14ac:dyDescent="0.2">
      <c r="F45" s="8"/>
      <c r="G45" s="1">
        <v>42</v>
      </c>
      <c r="H45" s="13">
        <f>'CR Finance Options'!$D$18</f>
        <v>4345.8761681346159</v>
      </c>
      <c r="J45" s="1">
        <v>42</v>
      </c>
      <c r="K45" s="13">
        <v>0</v>
      </c>
      <c r="M45" s="1">
        <v>42</v>
      </c>
      <c r="N45" s="12">
        <v>0</v>
      </c>
    </row>
    <row r="46" spans="6:14" x14ac:dyDescent="0.2">
      <c r="F46" s="8"/>
      <c r="G46" s="1">
        <v>43</v>
      </c>
      <c r="H46" s="13">
        <f>'CR Finance Options'!$D$18</f>
        <v>4345.8761681346159</v>
      </c>
      <c r="J46" s="1">
        <v>43</v>
      </c>
      <c r="K46" s="13">
        <v>0</v>
      </c>
      <c r="M46" s="1">
        <v>43</v>
      </c>
      <c r="N46" s="12">
        <v>0</v>
      </c>
    </row>
    <row r="47" spans="6:14" x14ac:dyDescent="0.2">
      <c r="F47" s="8"/>
      <c r="G47" s="1">
        <v>44</v>
      </c>
      <c r="H47" s="13">
        <f>'CR Finance Options'!$D$18</f>
        <v>4345.8761681346159</v>
      </c>
      <c r="J47" s="1">
        <v>44</v>
      </c>
      <c r="K47" s="13">
        <v>0</v>
      </c>
      <c r="M47" s="1">
        <v>44</v>
      </c>
      <c r="N47" s="12">
        <v>0</v>
      </c>
    </row>
    <row r="48" spans="6:14" x14ac:dyDescent="0.2">
      <c r="F48" s="8"/>
      <c r="G48" s="1">
        <v>45</v>
      </c>
      <c r="H48" s="13">
        <f>'CR Finance Options'!$D$18</f>
        <v>4345.8761681346159</v>
      </c>
      <c r="J48" s="1">
        <v>45</v>
      </c>
      <c r="K48" s="13">
        <v>0</v>
      </c>
      <c r="M48" s="1">
        <v>45</v>
      </c>
      <c r="N48" s="12">
        <v>0</v>
      </c>
    </row>
    <row r="49" spans="6:14" x14ac:dyDescent="0.2">
      <c r="F49" s="8"/>
      <c r="G49" s="1">
        <v>46</v>
      </c>
      <c r="H49" s="13">
        <f>'CR Finance Options'!$D$18</f>
        <v>4345.8761681346159</v>
      </c>
      <c r="J49" s="1">
        <v>46</v>
      </c>
      <c r="K49" s="13">
        <v>0</v>
      </c>
      <c r="M49" s="1">
        <v>46</v>
      </c>
      <c r="N49" s="12">
        <v>0</v>
      </c>
    </row>
    <row r="50" spans="6:14" x14ac:dyDescent="0.2">
      <c r="F50" s="8"/>
      <c r="G50" s="1">
        <v>47</v>
      </c>
      <c r="H50" s="13">
        <f>'CR Finance Options'!$D$18</f>
        <v>4345.8761681346159</v>
      </c>
      <c r="J50" s="1">
        <v>47</v>
      </c>
      <c r="K50" s="13">
        <v>0</v>
      </c>
      <c r="M50" s="1">
        <v>47</v>
      </c>
      <c r="N50" s="12">
        <v>0</v>
      </c>
    </row>
    <row r="51" spans="6:14" x14ac:dyDescent="0.2">
      <c r="F51" s="8"/>
      <c r="G51" s="1">
        <v>48</v>
      </c>
      <c r="H51" s="13">
        <f>'CR Finance Options'!$D$18</f>
        <v>4345.8761681346159</v>
      </c>
      <c r="J51" s="1">
        <v>48</v>
      </c>
      <c r="K51" s="13">
        <v>0</v>
      </c>
      <c r="M51" s="1">
        <v>48</v>
      </c>
      <c r="N51" s="12">
        <v>0</v>
      </c>
    </row>
    <row r="52" spans="6:14" x14ac:dyDescent="0.2">
      <c r="F52" s="8"/>
      <c r="G52" s="1">
        <v>49</v>
      </c>
      <c r="H52" s="13">
        <f>'CR Finance Options'!$D$18</f>
        <v>4345.8761681346159</v>
      </c>
      <c r="J52" s="1">
        <v>49</v>
      </c>
      <c r="K52" s="13">
        <v>0</v>
      </c>
      <c r="M52" s="1">
        <v>49</v>
      </c>
      <c r="N52" s="12">
        <v>0</v>
      </c>
    </row>
    <row r="53" spans="6:14" x14ac:dyDescent="0.2">
      <c r="F53" s="8"/>
      <c r="G53" s="1">
        <v>50</v>
      </c>
      <c r="H53" s="13">
        <f>'CR Finance Options'!$D$18</f>
        <v>4345.8761681346159</v>
      </c>
      <c r="J53" s="1">
        <v>50</v>
      </c>
      <c r="K53" s="13">
        <v>0</v>
      </c>
      <c r="M53" s="1">
        <v>50</v>
      </c>
      <c r="N53" s="12">
        <v>0</v>
      </c>
    </row>
    <row r="54" spans="6:14" x14ac:dyDescent="0.2">
      <c r="F54" s="8"/>
      <c r="G54" s="1">
        <v>51</v>
      </c>
      <c r="H54" s="13">
        <f>'CR Finance Options'!$D$18</f>
        <v>4345.8761681346159</v>
      </c>
      <c r="J54" s="1">
        <v>51</v>
      </c>
      <c r="K54" s="13">
        <v>0</v>
      </c>
      <c r="M54" s="1">
        <v>51</v>
      </c>
      <c r="N54" s="12">
        <v>0</v>
      </c>
    </row>
    <row r="55" spans="6:14" x14ac:dyDescent="0.2">
      <c r="F55" s="8"/>
      <c r="G55" s="1">
        <v>52</v>
      </c>
      <c r="H55" s="13">
        <f>'CR Finance Options'!$D$18</f>
        <v>4345.8761681346159</v>
      </c>
      <c r="J55" s="1">
        <v>52</v>
      </c>
      <c r="K55" s="13">
        <v>0</v>
      </c>
      <c r="M55" s="1">
        <v>52</v>
      </c>
      <c r="N55" s="12">
        <v>0</v>
      </c>
    </row>
    <row r="56" spans="6:14" x14ac:dyDescent="0.2">
      <c r="F56" s="8"/>
      <c r="G56" s="1">
        <v>53</v>
      </c>
      <c r="H56" s="13">
        <f>'CR Finance Options'!$D$18</f>
        <v>4345.8761681346159</v>
      </c>
      <c r="J56" s="1">
        <v>53</v>
      </c>
      <c r="K56" s="13">
        <v>0</v>
      </c>
      <c r="M56" s="1">
        <v>53</v>
      </c>
      <c r="N56" s="12">
        <v>0</v>
      </c>
    </row>
    <row r="57" spans="6:14" x14ac:dyDescent="0.2">
      <c r="F57" s="8"/>
      <c r="G57" s="1">
        <v>54</v>
      </c>
      <c r="H57" s="13">
        <f>'CR Finance Options'!$D$18</f>
        <v>4345.8761681346159</v>
      </c>
      <c r="J57" s="1">
        <v>54</v>
      </c>
      <c r="K57" s="13">
        <v>0</v>
      </c>
      <c r="M57" s="1">
        <v>54</v>
      </c>
      <c r="N57" s="12">
        <v>0</v>
      </c>
    </row>
    <row r="58" spans="6:14" x14ac:dyDescent="0.2">
      <c r="F58" s="8"/>
      <c r="G58" s="1">
        <v>55</v>
      </c>
      <c r="H58" s="13">
        <f>'CR Finance Options'!$D$18</f>
        <v>4345.8761681346159</v>
      </c>
      <c r="J58" s="1">
        <v>55</v>
      </c>
      <c r="K58" s="13">
        <v>0</v>
      </c>
      <c r="M58" s="1">
        <v>55</v>
      </c>
      <c r="N58" s="12">
        <v>0</v>
      </c>
    </row>
    <row r="59" spans="6:14" x14ac:dyDescent="0.2">
      <c r="F59" s="8"/>
      <c r="G59" s="1">
        <v>56</v>
      </c>
      <c r="H59" s="13">
        <f>'CR Finance Options'!$D$18</f>
        <v>4345.8761681346159</v>
      </c>
      <c r="J59" s="1">
        <v>56</v>
      </c>
      <c r="K59" s="13">
        <v>0</v>
      </c>
      <c r="M59" s="1">
        <v>56</v>
      </c>
      <c r="N59" s="12">
        <v>0</v>
      </c>
    </row>
    <row r="60" spans="6:14" x14ac:dyDescent="0.2">
      <c r="F60" s="8"/>
      <c r="G60" s="1">
        <v>57</v>
      </c>
      <c r="H60" s="13">
        <f>'CR Finance Options'!$D$18</f>
        <v>4345.8761681346159</v>
      </c>
      <c r="J60" s="1">
        <v>57</v>
      </c>
      <c r="K60" s="13">
        <v>0</v>
      </c>
      <c r="M60" s="1">
        <v>57</v>
      </c>
      <c r="N60" s="12">
        <v>0</v>
      </c>
    </row>
    <row r="61" spans="6:14" x14ac:dyDescent="0.2">
      <c r="F61" s="8"/>
      <c r="G61" s="1">
        <v>58</v>
      </c>
      <c r="H61" s="13">
        <f>'CR Finance Options'!$D$18</f>
        <v>4345.8761681346159</v>
      </c>
      <c r="J61" s="1">
        <v>58</v>
      </c>
      <c r="K61" s="13">
        <v>0</v>
      </c>
      <c r="M61" s="1">
        <v>58</v>
      </c>
      <c r="N61" s="12">
        <v>0</v>
      </c>
    </row>
    <row r="62" spans="6:14" x14ac:dyDescent="0.2">
      <c r="F62" s="8"/>
      <c r="G62" s="1">
        <v>59</v>
      </c>
      <c r="H62" s="13">
        <f>'CR Finance Options'!$D$18</f>
        <v>4345.8761681346159</v>
      </c>
      <c r="J62" s="1">
        <v>59</v>
      </c>
      <c r="K62" s="13">
        <v>0</v>
      </c>
      <c r="M62" s="1">
        <v>59</v>
      </c>
      <c r="N62" s="12">
        <v>0</v>
      </c>
    </row>
    <row r="63" spans="6:14" x14ac:dyDescent="0.2">
      <c r="F63" s="8"/>
      <c r="G63" s="1">
        <v>60</v>
      </c>
      <c r="H63" s="13">
        <f>'CR Finance Options'!$D$18</f>
        <v>4345.8761681346159</v>
      </c>
      <c r="J63" s="1">
        <v>60</v>
      </c>
      <c r="K63" s="13">
        <v>0</v>
      </c>
      <c r="M63" s="1">
        <v>60</v>
      </c>
      <c r="N63" s="12">
        <v>0</v>
      </c>
    </row>
    <row r="64" spans="6:14" x14ac:dyDescent="0.2">
      <c r="F64" s="8"/>
      <c r="G64" s="14" t="s">
        <v>11</v>
      </c>
      <c r="H64" s="15">
        <f>H3+NPV((1+'Project Details'!F6)^(1/12)-1,H4:H63)</f>
        <v>288909.07234090474</v>
      </c>
      <c r="J64" s="14" t="s">
        <v>11</v>
      </c>
      <c r="K64" s="15">
        <f>NPV((1+'Project Details'!F6)^(1/12)-1,'CR Finance Options'!K4:K63)+K3</f>
        <v>287107.5381734338</v>
      </c>
      <c r="M64" s="14" t="s">
        <v>11</v>
      </c>
      <c r="N64" s="15">
        <f>N3+NPV((1+'Project Details'!F6)^(1/12)-1,'CR Finance Options'!N4:N63)</f>
        <v>289470.53020071017</v>
      </c>
    </row>
  </sheetData>
  <mergeCells count="5">
    <mergeCell ref="B1:C1"/>
    <mergeCell ref="M1:N1"/>
    <mergeCell ref="G1:H1"/>
    <mergeCell ref="J1:K1"/>
    <mergeCell ref="B14:E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BBF3A-FA6F-A348-BB03-31C01C24E9CD}">
  <dimension ref="B2:I9"/>
  <sheetViews>
    <sheetView zoomScale="150" workbookViewId="0">
      <selection activeCell="E8" sqref="E8"/>
    </sheetView>
  </sheetViews>
  <sheetFormatPr baseColWidth="10" defaultRowHeight="15" x14ac:dyDescent="0.2"/>
  <cols>
    <col min="3" max="3" width="13" customWidth="1"/>
    <col min="4" max="4" width="11" bestFit="1" customWidth="1"/>
    <col min="5" max="5" width="11.1640625" bestFit="1" customWidth="1"/>
    <col min="7" max="7" width="9.5" customWidth="1"/>
    <col min="8" max="8" width="13.1640625" customWidth="1"/>
    <col min="9" max="9" width="20.33203125" customWidth="1"/>
  </cols>
  <sheetData>
    <row r="2" spans="2:9" ht="16" thickBot="1" x14ac:dyDescent="0.25">
      <c r="B2" s="164" t="s">
        <v>201</v>
      </c>
      <c r="C2" s="164"/>
      <c r="D2" s="164"/>
      <c r="E2" s="164"/>
      <c r="H2" s="163" t="s">
        <v>203</v>
      </c>
      <c r="I2" s="163"/>
    </row>
    <row r="3" spans="2:9" x14ac:dyDescent="0.2">
      <c r="B3" s="91" t="s">
        <v>196</v>
      </c>
      <c r="C3" s="91" t="s">
        <v>188</v>
      </c>
      <c r="D3" s="91" t="s">
        <v>189</v>
      </c>
      <c r="E3" s="91" t="s">
        <v>190</v>
      </c>
      <c r="H3" s="91" t="s">
        <v>38</v>
      </c>
      <c r="I3" s="91" t="s">
        <v>191</v>
      </c>
    </row>
    <row r="4" spans="2:9" x14ac:dyDescent="0.2">
      <c r="B4" s="44">
        <f>Usability!C10</f>
        <v>0.12</v>
      </c>
      <c r="C4" s="1">
        <f>Usability!C14</f>
        <v>864</v>
      </c>
      <c r="D4" s="12">
        <f>'PROJECT ANALYSIS'!B4</f>
        <v>180</v>
      </c>
      <c r="E4" s="12">
        <f t="shared" ref="E4" si="0">C4*D4</f>
        <v>155520</v>
      </c>
      <c r="H4" s="1">
        <v>1</v>
      </c>
      <c r="I4" s="12">
        <f>($E$8+$E$4)*('Project Details'!$F$5+1)^(H4-1)</f>
        <v>217834.5205479452</v>
      </c>
    </row>
    <row r="5" spans="2:9" x14ac:dyDescent="0.2">
      <c r="H5" s="1">
        <f>1+H4</f>
        <v>2</v>
      </c>
      <c r="I5" s="12">
        <f>($E$8+$E$4)*('Project Details'!$F$5+1)^H5</f>
        <v>233349.78427397256</v>
      </c>
    </row>
    <row r="6" spans="2:9" ht="16" thickBot="1" x14ac:dyDescent="0.25">
      <c r="B6" s="164" t="s">
        <v>200</v>
      </c>
      <c r="C6" s="164"/>
      <c r="D6" s="164"/>
      <c r="E6" s="164"/>
      <c r="H6" s="1">
        <f t="shared" ref="H6:H8" si="1">1+H5</f>
        <v>3</v>
      </c>
      <c r="I6" s="12">
        <f>($E$8+$E$4)*('Project Details'!$F$5+1)^H6</f>
        <v>241517.02672356158</v>
      </c>
    </row>
    <row r="7" spans="2:9" x14ac:dyDescent="0.2">
      <c r="B7" s="165" t="s">
        <v>204</v>
      </c>
      <c r="C7" s="166"/>
      <c r="D7" s="91" t="s">
        <v>202</v>
      </c>
      <c r="E7" s="91" t="s">
        <v>190</v>
      </c>
      <c r="H7" s="1">
        <f t="shared" si="1"/>
        <v>4</v>
      </c>
      <c r="I7" s="12">
        <f>($E$8+$E$4)*('Project Details'!$F$5+1)^H7</f>
        <v>249970.12265888622</v>
      </c>
    </row>
    <row r="8" spans="2:9" x14ac:dyDescent="0.2">
      <c r="B8" s="167">
        <f>Usability!I4*12</f>
        <v>124629.04109589041</v>
      </c>
      <c r="C8" s="168"/>
      <c r="D8" s="12">
        <v>0.5</v>
      </c>
      <c r="E8" s="12">
        <f>B8*D8</f>
        <v>62314.520547945205</v>
      </c>
      <c r="H8" s="121">
        <f t="shared" si="1"/>
        <v>5</v>
      </c>
      <c r="I8" s="46">
        <f>($E$8+$E$4)*('Project Details'!$F$5+1)^H8</f>
        <v>258719.07695194721</v>
      </c>
    </row>
    <row r="9" spans="2:9" x14ac:dyDescent="0.2">
      <c r="H9" s="93"/>
      <c r="I9" s="48"/>
    </row>
  </sheetData>
  <mergeCells count="5">
    <mergeCell ref="H2:I2"/>
    <mergeCell ref="B2:E2"/>
    <mergeCell ref="B6:E6"/>
    <mergeCell ref="B7:C7"/>
    <mergeCell ref="B8:C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EC192-FD1E-4512-A97A-EBF4BB0693FB}">
  <dimension ref="A1:R62"/>
  <sheetViews>
    <sheetView tabSelected="1" topLeftCell="H1" zoomScale="83" workbookViewId="0">
      <selection activeCell="I41" sqref="I41"/>
    </sheetView>
  </sheetViews>
  <sheetFormatPr baseColWidth="10" defaultColWidth="8.83203125" defaultRowHeight="15" x14ac:dyDescent="0.2"/>
  <cols>
    <col min="1" max="1" width="18.6640625" style="85" customWidth="1"/>
    <col min="2" max="2" width="10.83203125" customWidth="1"/>
    <col min="3" max="3" width="21.6640625" customWidth="1"/>
    <col min="4" max="4" width="13" customWidth="1"/>
    <col min="5" max="6" width="17.83203125" customWidth="1"/>
    <col min="7" max="7" width="15.33203125" customWidth="1"/>
    <col min="8" max="8" width="12.5" bestFit="1" customWidth="1"/>
    <col min="9" max="9" width="17.33203125" customWidth="1"/>
    <col min="10" max="10" width="18.5" customWidth="1"/>
    <col min="11" max="13" width="36" customWidth="1"/>
    <col min="14" max="14" width="23.33203125" customWidth="1"/>
    <col min="15" max="15" width="15" customWidth="1"/>
    <col min="16" max="16" width="15.5" customWidth="1"/>
    <col min="17" max="17" width="11.5" bestFit="1" customWidth="1"/>
    <col min="18" max="18" width="19.6640625" customWidth="1"/>
  </cols>
  <sheetData>
    <row r="1" spans="1:18" ht="16" thickBot="1" x14ac:dyDescent="0.25">
      <c r="A1" s="113" t="s">
        <v>181</v>
      </c>
      <c r="B1" s="113" t="s">
        <v>10</v>
      </c>
      <c r="C1" s="113" t="s">
        <v>176</v>
      </c>
      <c r="D1" s="113" t="s">
        <v>56</v>
      </c>
      <c r="E1" s="113" t="s">
        <v>177</v>
      </c>
      <c r="F1" s="113" t="s">
        <v>178</v>
      </c>
      <c r="G1" s="113" t="s">
        <v>175</v>
      </c>
      <c r="H1" s="113" t="s">
        <v>15</v>
      </c>
      <c r="I1" s="113" t="s">
        <v>199</v>
      </c>
      <c r="J1" s="118" t="s">
        <v>193</v>
      </c>
      <c r="K1" s="113" t="s">
        <v>209</v>
      </c>
      <c r="L1" s="128" t="s">
        <v>215</v>
      </c>
      <c r="M1" s="128" t="s">
        <v>216</v>
      </c>
      <c r="N1" s="128" t="s">
        <v>211</v>
      </c>
    </row>
    <row r="2" spans="1:18" ht="16" thickTop="1" x14ac:dyDescent="0.2">
      <c r="A2" s="114">
        <f>(1+'Project Details'!$F$5)^(B2/12)</f>
        <v>1</v>
      </c>
      <c r="B2" s="53">
        <v>0</v>
      </c>
      <c r="C2" s="112">
        <f>-'CR Finance Options'!K3</f>
        <v>-73158.47</v>
      </c>
      <c r="D2" s="112">
        <v>0</v>
      </c>
      <c r="E2" s="112">
        <f>-Cashflow!A2*'Project Details'!$C$14</f>
        <v>-2500</v>
      </c>
      <c r="F2" s="112">
        <f>IF(MOD(B2,12)=0,-A2*'Project Details'!$C$44,0)</f>
        <v>-2500</v>
      </c>
      <c r="G2" s="112">
        <v>0</v>
      </c>
      <c r="H2" s="112">
        <v>0</v>
      </c>
      <c r="I2" s="112">
        <v>0</v>
      </c>
      <c r="J2" s="119">
        <f>IF(MOD(B2,12)=0,Revenue!$E$4*A2,0)</f>
        <v>155520</v>
      </c>
      <c r="K2" s="112">
        <f>SUM(C2:J2)</f>
        <v>77361.53</v>
      </c>
      <c r="L2" s="112">
        <f>SUM(C2:H2)/((1+'Project Details'!$F$6)^(B2/12))</f>
        <v>-78158.47</v>
      </c>
      <c r="M2" s="112">
        <f>SUM(I2:J2)/((1+'Project Details'!$F$6)^(B2/12))</f>
        <v>155520</v>
      </c>
      <c r="N2" s="64">
        <f>K2</f>
        <v>77361.53</v>
      </c>
    </row>
    <row r="3" spans="1:18" x14ac:dyDescent="0.2">
      <c r="A3" s="115">
        <f>(1+'Project Details'!$F$5)^(B3/12)</f>
        <v>1.0028708987190766</v>
      </c>
      <c r="B3" s="3">
        <v>1</v>
      </c>
      <c r="C3" s="112">
        <f>-'CR Finance Options'!K4</f>
        <v>-6676.8671951744136</v>
      </c>
      <c r="D3" s="33">
        <f>-A3*Electicity!$B$10</f>
        <v>-70.305096628311944</v>
      </c>
      <c r="E3" s="112">
        <f>-Cashflow!A3*'Project Details'!$C$14</f>
        <v>-2507.1772467976916</v>
      </c>
      <c r="F3" s="112">
        <f>IF(MOD(B3,12)=0,-A3*'Project Details'!$C$44,0)</f>
        <v>0</v>
      </c>
      <c r="G3" s="33">
        <f>-(Shipping!$H$24+Maintenance!$G$24)*Cashflow!A3</f>
        <v>-3121.0990292342522</v>
      </c>
      <c r="H3" s="33">
        <f>-Maintenance!$G$25*A3</f>
        <v>-3662.9765907822116</v>
      </c>
      <c r="I3" s="33">
        <f>Revenue!$E$8/12</f>
        <v>5192.8767123287671</v>
      </c>
      <c r="J3" s="119">
        <f>IF(MOD(B3,12)=0,Revenue!$E$4*A3,0)</f>
        <v>0</v>
      </c>
      <c r="K3" s="112">
        <f>SUM(C3:J3)</f>
        <v>-10845.548446288114</v>
      </c>
      <c r="L3" s="112">
        <f>SUM(C3:H3)/((1+'Project Details'!$F$6)^(B3/12))</f>
        <v>-15935.893142309465</v>
      </c>
      <c r="M3" s="112">
        <f>SUM(I3:J3)/((1+'Project Details'!$F$6)^(B3/12))</f>
        <v>5159.6791811194862</v>
      </c>
      <c r="N3" s="12">
        <f>$K$2+NPV((1+'Project Details'!$F$6)^(1/12)-1,$K$3:K3)</f>
        <v>66585.316038810022</v>
      </c>
    </row>
    <row r="4" spans="1:18" x14ac:dyDescent="0.2">
      <c r="A4" s="115">
        <f>(1+'Project Details'!$F$5)^(B4/12)</f>
        <v>1.0057500394976084</v>
      </c>
      <c r="B4" s="3">
        <v>2</v>
      </c>
      <c r="C4" s="112">
        <f>-'CR Finance Options'!K5</f>
        <v>-6676.8671951744136</v>
      </c>
      <c r="D4" s="33">
        <f>-A4*Electicity!$B$10</f>
        <v>-70.506935440166714</v>
      </c>
      <c r="E4" s="112">
        <f>-Cashflow!A4*'Project Details'!$C$14</f>
        <v>-2514.3750987440212</v>
      </c>
      <c r="F4" s="112">
        <f>IF(MOD(B4,12)=0,-A4*'Project Details'!$C$44,0)</f>
        <v>0</v>
      </c>
      <c r="G4" s="33">
        <f>-(Shipping!$H$24+Maintenance!$G$24)*Cashflow!A4</f>
        <v>-3130.059388439392</v>
      </c>
      <c r="H4" s="33">
        <f>-Maintenance!$G$25*A4</f>
        <v>-3673.4926255846958</v>
      </c>
      <c r="I4" s="33">
        <f>Revenue!$E$8/12</f>
        <v>5192.8767123287671</v>
      </c>
      <c r="J4" s="119">
        <f>IF(MOD(B4,12)=0,Revenue!$E$4*A4,0)</f>
        <v>0</v>
      </c>
      <c r="K4" s="112">
        <f>SUM(C4:J4)</f>
        <v>-10872.424531053921</v>
      </c>
      <c r="L4" s="112">
        <f>SUM(C4:H4)/((1+'Project Details'!$F$6)^(B4/12))</f>
        <v>-15860.550153755923</v>
      </c>
      <c r="M4" s="112">
        <f>SUM(I4:J4)/((1+'Project Details'!$F$6)^(B4/12))</f>
        <v>5126.6938783414671</v>
      </c>
      <c r="N4" s="12">
        <f>$K$2+NPV((1+'Project Details'!$F$6)^(1/12)-1,$K$3:K4)</f>
        <v>55851.459763395564</v>
      </c>
      <c r="Q4" s="129" t="s">
        <v>184</v>
      </c>
      <c r="R4" s="129"/>
    </row>
    <row r="5" spans="1:18" x14ac:dyDescent="0.2">
      <c r="A5" s="115">
        <f>(1+'Project Details'!$F$5)^(B5/12)</f>
        <v>1.0086374459977134</v>
      </c>
      <c r="B5" s="3">
        <v>3</v>
      </c>
      <c r="C5" s="112">
        <f>-'CR Finance Options'!K6</f>
        <v>-6676.8671951744136</v>
      </c>
      <c r="D5" s="33">
        <f>-A5*Electicity!$B$10</f>
        <v>-70.709353710807918</v>
      </c>
      <c r="E5" s="112">
        <f>-Cashflow!A5*'Project Details'!$C$14</f>
        <v>-2521.5936149942836</v>
      </c>
      <c r="F5" s="112">
        <f>IF(MOD(B5,12)=0,-A5*'Project Details'!$C$44,0)</f>
        <v>0</v>
      </c>
      <c r="G5" s="33">
        <f>-(Shipping!$H$24+Maintenance!$G$24)*Cashflow!A5</f>
        <v>-3139.0454719282966</v>
      </c>
      <c r="H5" s="33">
        <f>-Maintenance!$G$25*A5</f>
        <v>-3684.0388508580249</v>
      </c>
      <c r="I5" s="33">
        <f>Revenue!$E$8/12</f>
        <v>5192.8767123287671</v>
      </c>
      <c r="J5" s="119">
        <f>IF(MOD(B5,12)=0,Revenue!$E$4*A5,0)</f>
        <v>0</v>
      </c>
      <c r="K5" s="112">
        <f>SUM(C5:J5)</f>
        <v>-10899.377774337061</v>
      </c>
      <c r="L5" s="112">
        <f>SUM(C5:H5)/((1+'Project Details'!$F$6)^(B5/12))</f>
        <v>-15785.594887116262</v>
      </c>
      <c r="M5" s="112">
        <f>SUM(I5:J5)/((1+'Project Details'!$F$6)^(B5/12))</f>
        <v>5093.9194472399931</v>
      </c>
      <c r="N5" s="12">
        <f>$K$2+NPV((1+'Project Details'!$F$6)^(1/12)-1,$K$3:K5)</f>
        <v>45159.7843235193</v>
      </c>
      <c r="Q5" s="1" t="s">
        <v>182</v>
      </c>
      <c r="R5" s="12">
        <f>K2+NPV(('Project Details'!F6+1)^(1/12)-1,Cashflow!K3:K62)</f>
        <v>168525.42819888081</v>
      </c>
    </row>
    <row r="6" spans="1:18" x14ac:dyDescent="0.2">
      <c r="A6" s="115">
        <f>(1+'Project Details'!$F$5)^(B6/12)</f>
        <v>1.0115331419494409</v>
      </c>
      <c r="B6" s="3">
        <v>4</v>
      </c>
      <c r="C6" s="112">
        <f>-'CR Finance Options'!K7</f>
        <v>-6676.8671951744136</v>
      </c>
      <c r="D6" s="33">
        <f>-A6*Electicity!$B$10</f>
        <v>-70.912353103802999</v>
      </c>
      <c r="E6" s="112">
        <f>-Cashflow!A6*'Project Details'!$C$14</f>
        <v>-2528.8328548736022</v>
      </c>
      <c r="F6" s="112">
        <f>IF(MOD(B6,12)=0,-A6*'Project Details'!$C$44,0)</f>
        <v>0</v>
      </c>
      <c r="G6" s="33">
        <f>-(Shipping!$H$24+Maintenance!$G$24)*Cashflow!A6</f>
        <v>-3148.0573535527783</v>
      </c>
      <c r="H6" s="33">
        <f>-Maintenance!$G$25*A6</f>
        <v>-3694.6153532759813</v>
      </c>
      <c r="I6" s="33">
        <f>Revenue!$E$8/12</f>
        <v>5192.8767123287671</v>
      </c>
      <c r="J6" s="119">
        <f>IF(MOD(B6,12)=0,Revenue!$E$4*A6,0)</f>
        <v>0</v>
      </c>
      <c r="K6" s="112">
        <f>SUM(C6:J6)</f>
        <v>-10926.408397651812</v>
      </c>
      <c r="L6" s="112">
        <f>SUM(C6:H6)/((1+'Project Details'!$F$6)^(B6/12))</f>
        <v>-15711.025196297915</v>
      </c>
      <c r="M6" s="112">
        <f>SUM(I6:J6)/((1+'Project Details'!$F$6)^(B6/12))</f>
        <v>5061.3545397339421</v>
      </c>
      <c r="N6" s="12">
        <f>$K$2+NPV((1+'Project Details'!$F$6)^(1/12)-1,$K$3:K6)</f>
        <v>34510.113666955323</v>
      </c>
      <c r="Q6" s="1" t="s">
        <v>183</v>
      </c>
      <c r="R6" s="13">
        <f>-PMT('Project Details'!F6,'Project Details'!F4,Cashflow!R5)</f>
        <v>42208.281251049673</v>
      </c>
    </row>
    <row r="7" spans="1:18" x14ac:dyDescent="0.2">
      <c r="A7" s="115">
        <f>(1+'Project Details'!$F$5)^(B7/12)</f>
        <v>1.0144371511509671</v>
      </c>
      <c r="B7" s="3">
        <v>5</v>
      </c>
      <c r="C7" s="112">
        <f>-'CR Finance Options'!K8</f>
        <v>-6676.8671951744136</v>
      </c>
      <c r="D7" s="33">
        <f>-A7*Electicity!$B$10</f>
        <v>-71.115935287495418</v>
      </c>
      <c r="E7" s="112">
        <f>-Cashflow!A7*'Project Details'!$C$14</f>
        <v>-2536.0928778774178</v>
      </c>
      <c r="F7" s="112">
        <f>IF(MOD(B7,12)=0,-A7*'Project Details'!$C$44,0)</f>
        <v>0</v>
      </c>
      <c r="G7" s="33">
        <f>-(Shipping!$H$24+Maintenance!$G$24)*Cashflow!A7</f>
        <v>-3157.0951073766728</v>
      </c>
      <c r="H7" s="33">
        <f>-Maintenance!$G$25*A7</f>
        <v>-3705.2222197611823</v>
      </c>
      <c r="I7" s="33">
        <f>Revenue!$E$8/12</f>
        <v>5192.8767123287671</v>
      </c>
      <c r="J7" s="119">
        <f>IF(MOD(B7,12)=0,Revenue!$E$4*A7,0)</f>
        <v>0</v>
      </c>
      <c r="K7" s="112">
        <f>SUM(C7:J7)</f>
        <v>-10953.516623148415</v>
      </c>
      <c r="L7" s="112">
        <f>SUM(C7:H7)/((1+'Project Details'!$F$6)^(B7/12))</f>
        <v>-15636.838947750659</v>
      </c>
      <c r="M7" s="112">
        <f>SUM(I7:J7)/((1+'Project Details'!$F$6)^(B7/12))</f>
        <v>5028.9978163603382</v>
      </c>
      <c r="N7" s="12">
        <f>$K$2+NPV((1+'Project Details'!$F$6)^(1/12)-1,$K$3:K7)</f>
        <v>23902.272535565004</v>
      </c>
    </row>
    <row r="8" spans="1:18" x14ac:dyDescent="0.2">
      <c r="A8" s="115">
        <f>(1+'Project Details'!$F$5)^(B8/12)</f>
        <v>1.0173494974687902</v>
      </c>
      <c r="B8" s="3">
        <v>6</v>
      </c>
      <c r="C8" s="112">
        <f>-'CR Finance Options'!K9</f>
        <v>-6676.8671951744136</v>
      </c>
      <c r="D8" s="33">
        <f>-A8*Electicity!$B$10</f>
        <v>-71.320101935018229</v>
      </c>
      <c r="E8" s="112">
        <f>-Cashflow!A8*'Project Details'!$C$14</f>
        <v>-2543.3737436719757</v>
      </c>
      <c r="F8" s="112">
        <f>IF(MOD(B8,12)=0,-A8*'Project Details'!$C$44,0)</f>
        <v>0</v>
      </c>
      <c r="G8" s="33">
        <f>-(Shipping!$H$24+Maintenance!$G$24)*Cashflow!A8</f>
        <v>-3166.1588076764438</v>
      </c>
      <c r="H8" s="33">
        <f>-Maintenance!$G$25*A8</f>
        <v>-3715.8595374857891</v>
      </c>
      <c r="I8" s="33">
        <f>Revenue!$E$8/12</f>
        <v>5192.8767123287671</v>
      </c>
      <c r="J8" s="119">
        <f>IF(MOD(B8,12)=0,Revenue!$E$4*A8,0)</f>
        <v>0</v>
      </c>
      <c r="K8" s="112">
        <f>SUM(C8:J8)</f>
        <v>-10980.702673614873</v>
      </c>
      <c r="L8" s="112">
        <f>SUM(C8:H8)/((1+'Project Details'!$F$6)^(B8/12))</f>
        <v>-15563.034020390569</v>
      </c>
      <c r="M8" s="112">
        <f>SUM(I8:J8)/((1+'Project Details'!$F$6)^(B8/12))</f>
        <v>4996.8479462192536</v>
      </c>
      <c r="N8" s="12">
        <f>$K$2+NPV((1+'Project Details'!$F$6)^(1/12)-1,$K$3:K8)</f>
        <v>13336.086461393679</v>
      </c>
    </row>
    <row r="9" spans="1:18" x14ac:dyDescent="0.2">
      <c r="A9" s="115">
        <f>(1+'Project Details'!$F$5)^(B9/12)</f>
        <v>1.0202702048379266</v>
      </c>
      <c r="B9" s="3">
        <v>7</v>
      </c>
      <c r="C9" s="112">
        <f>-'CR Finance Options'!K10</f>
        <v>-6676.8671951744136</v>
      </c>
      <c r="D9" s="33">
        <f>-A9*Electicity!$B$10</f>
        <v>-71.524854724307886</v>
      </c>
      <c r="E9" s="112">
        <f>-Cashflow!A9*'Project Details'!$C$14</f>
        <v>-2550.6755120948164</v>
      </c>
      <c r="F9" s="112">
        <f>IF(MOD(B9,12)=0,-A9*'Project Details'!$C$44,0)</f>
        <v>0</v>
      </c>
      <c r="G9" s="33">
        <f>-(Shipping!$H$24+Maintenance!$G$24)*Cashflow!A9</f>
        <v>-3175.2485289417955</v>
      </c>
      <c r="H9" s="33">
        <f>-Maintenance!$G$25*A9</f>
        <v>-3726.5273938722257</v>
      </c>
      <c r="I9" s="33">
        <f>Revenue!$E$8/12</f>
        <v>5192.8767123287671</v>
      </c>
      <c r="J9" s="119">
        <f>IF(MOD(B9,12)=0,Revenue!$E$4*A9,0)</f>
        <v>0</v>
      </c>
      <c r="K9" s="112">
        <f>SUM(C9:J9)</f>
        <v>-11007.966772478794</v>
      </c>
      <c r="L9" s="112">
        <f>SUM(C9:H9)/((1+'Project Details'!$F$6)^(B9/12))</f>
        <v>-15489.608305524496</v>
      </c>
      <c r="M9" s="112">
        <f>SUM(I9:J9)/((1+'Project Details'!$F$6)^(B9/12))</f>
        <v>4964.9036069190715</v>
      </c>
      <c r="N9" s="12">
        <f>$K$2+NPV((1+'Project Details'!$F$6)^(1/12)-1,$K$3:K9)</f>
        <v>2811.3817627882527</v>
      </c>
    </row>
    <row r="10" spans="1:18" x14ac:dyDescent="0.2">
      <c r="A10" s="115">
        <f>(1+'Project Details'!$F$5)^(B10/12)</f>
        <v>1.0231992972621078</v>
      </c>
      <c r="B10" s="3">
        <v>8</v>
      </c>
      <c r="C10" s="112">
        <f>-'CR Finance Options'!K11</f>
        <v>-6676.8671951744136</v>
      </c>
      <c r="D10" s="33">
        <f>-A10*Electicity!$B$10</f>
        <v>-71.730195338118037</v>
      </c>
      <c r="E10" s="112">
        <f>-Cashflow!A10*'Project Details'!$C$14</f>
        <v>-2557.9982431552694</v>
      </c>
      <c r="F10" s="112">
        <f>IF(MOD(B10,12)=0,-A10*'Project Details'!$C$44,0)</f>
        <v>0</v>
      </c>
      <c r="G10" s="33">
        <f>-(Shipping!$H$24+Maintenance!$G$24)*Cashflow!A10</f>
        <v>-3184.364345876284</v>
      </c>
      <c r="H10" s="33">
        <f>-Maintenance!$G$25*A10</f>
        <v>-3737.2258765938968</v>
      </c>
      <c r="I10" s="33">
        <f>Revenue!$E$8/12</f>
        <v>5192.8767123287671</v>
      </c>
      <c r="J10" s="119">
        <f>IF(MOD(B10,12)=0,Revenue!$E$4*A10,0)</f>
        <v>0</v>
      </c>
      <c r="K10" s="112">
        <f>SUM(C10:J10)</f>
        <v>-11035.309143809214</v>
      </c>
      <c r="L10" s="112">
        <f>SUM(C10:H10)/((1+'Project Details'!$F$6)^(B10/12))</f>
        <v>-15416.559706774959</v>
      </c>
      <c r="M10" s="112">
        <f>SUM(I10:J10)/((1+'Project Details'!$F$6)^(B10/12))</f>
        <v>4933.1634845220869</v>
      </c>
      <c r="N10" s="12">
        <f>$K$2+NPV((1+'Project Details'!$F$6)^(1/12)-1,$K$3:K10)</f>
        <v>-7672.0144594646117</v>
      </c>
    </row>
    <row r="11" spans="1:18" x14ac:dyDescent="0.2">
      <c r="A11" s="115">
        <f>(1+'Project Details'!$F$5)^(B11/12)</f>
        <v>1.0261367988139778</v>
      </c>
      <c r="B11" s="3">
        <v>9</v>
      </c>
      <c r="C11" s="112">
        <f>-'CR Finance Options'!K12</f>
        <v>-6676.8671951744136</v>
      </c>
      <c r="D11" s="33">
        <f>-A11*Electicity!$B$10</f>
        <v>-71.936125464033367</v>
      </c>
      <c r="E11" s="112">
        <f>-Cashflow!A11*'Project Details'!$C$14</f>
        <v>-2565.3419970349446</v>
      </c>
      <c r="F11" s="112">
        <f>IF(MOD(B11,12)=0,-A11*'Project Details'!$C$44,0)</f>
        <v>0</v>
      </c>
      <c r="G11" s="33">
        <f>-(Shipping!$H$24+Maintenance!$G$24)*Cashflow!A11</f>
        <v>-3193.5063333979338</v>
      </c>
      <c r="H11" s="33">
        <f>-Maintenance!$G$25*A11</f>
        <v>-3747.9550735759108</v>
      </c>
      <c r="I11" s="33">
        <f>Revenue!$E$8/12</f>
        <v>5192.8767123287671</v>
      </c>
      <c r="J11" s="119">
        <f>IF(MOD(B11,12)=0,Revenue!$E$4*A11,0)</f>
        <v>0</v>
      </c>
      <c r="K11" s="112">
        <f>SUM(C11:J11)</f>
        <v>-11062.73001231847</v>
      </c>
      <c r="L11" s="112">
        <f>SUM(C11:H11)/((1+'Project Details'!$F$6)^(B11/12))</f>
        <v>-15343.886140005596</v>
      </c>
      <c r="M11" s="112">
        <f>SUM(I11:J11)/((1+'Project Details'!$F$6)^(B11/12))</f>
        <v>4901.6262734904658</v>
      </c>
      <c r="N11" s="12">
        <f>$K$2+NPV((1+'Project Details'!$F$6)^(1/12)-1,$K$3:K11)</f>
        <v>-18114.274325979757</v>
      </c>
    </row>
    <row r="12" spans="1:18" x14ac:dyDescent="0.2">
      <c r="A12" s="115">
        <f>(1+'Project Details'!$F$5)^(B12/12)</f>
        <v>1.0290827336352901</v>
      </c>
      <c r="B12" s="3">
        <v>10</v>
      </c>
      <c r="C12" s="112">
        <f>-'CR Finance Options'!K13</f>
        <v>-6676.8671951744136</v>
      </c>
      <c r="D12" s="33">
        <f>-A12*Electicity!$B$10</f>
        <v>-72.142646794483383</v>
      </c>
      <c r="E12" s="112">
        <f>-Cashflow!A12*'Project Details'!$C$14</f>
        <v>-2572.7068340882252</v>
      </c>
      <c r="F12" s="112">
        <f>IF(MOD(B12,12)=0,-A12*'Project Details'!$C$44,0)</f>
        <v>0</v>
      </c>
      <c r="G12" s="33">
        <f>-(Shipping!$H$24+Maintenance!$G$24)*Cashflow!A12</f>
        <v>-3202.6745666398488</v>
      </c>
      <c r="H12" s="33">
        <f>-Maintenance!$G$25*A12</f>
        <v>-3758.7150729957962</v>
      </c>
      <c r="I12" s="33">
        <f>Revenue!$E$8/12</f>
        <v>5192.8767123287671</v>
      </c>
      <c r="J12" s="119">
        <f>IF(MOD(B12,12)=0,Revenue!$E$4*A12,0)</f>
        <v>0</v>
      </c>
      <c r="K12" s="112">
        <f>SUM(C12:J12)</f>
        <v>-11090.229603364</v>
      </c>
      <c r="L12" s="112">
        <f>SUM(C12:H12)/((1+'Project Details'!$F$6)^(B12/12))</f>
        <v>-15271.585533246945</v>
      </c>
      <c r="M12" s="112">
        <f>SUM(I12:J12)/((1+'Project Details'!$F$6)^(B12/12))</f>
        <v>4870.2906766325432</v>
      </c>
      <c r="N12" s="12">
        <f>$K$2+NPV((1+'Project Details'!$F$6)^(1/12)-1,$K$3:K12)</f>
        <v>-28515.569182594161</v>
      </c>
    </row>
    <row r="13" spans="1:18" x14ac:dyDescent="0.2">
      <c r="A13" s="115">
        <f>(1+'Project Details'!$F$5)^(B13/12)</f>
        <v>1.0320371259371075</v>
      </c>
      <c r="B13" s="3">
        <v>11</v>
      </c>
      <c r="C13" s="112">
        <f>-'CR Finance Options'!K14</f>
        <v>-6676.8671951744136</v>
      </c>
      <c r="D13" s="33">
        <f>-A13*Electicity!$B$10</f>
        <v>-72.349761026756468</v>
      </c>
      <c r="E13" s="112">
        <f>-Cashflow!A13*'Project Details'!$C$14</f>
        <v>-2580.0928148427688</v>
      </c>
      <c r="F13" s="112">
        <f>IF(MOD(B13,12)=0,-A13*'Project Details'!$C$44,0)</f>
        <v>0</v>
      </c>
      <c r="G13" s="33">
        <f>-(Shipping!$H$24+Maintenance!$G$24)*Cashflow!A13</f>
        <v>-3211.8691209508343</v>
      </c>
      <c r="H13" s="33">
        <f>-Maintenance!$G$25*A13</f>
        <v>-3769.5059632842335</v>
      </c>
      <c r="I13" s="33">
        <f>Revenue!$E$8/12</f>
        <v>5192.8767123287671</v>
      </c>
      <c r="J13" s="119">
        <f>IF(MOD(B13,12)=0,Revenue!$E$4*A13,0)</f>
        <v>0</v>
      </c>
      <c r="K13" s="112">
        <f>SUM(C13:J13)</f>
        <v>-11117.80814295024</v>
      </c>
      <c r="L13" s="112">
        <f>SUM(C13:H13)/((1+'Project Details'!$F$6)^(B13/12))</f>
        <v>-15199.65582662282</v>
      </c>
      <c r="M13" s="112">
        <f>SUM(I13:J13)/((1+'Project Details'!$F$6)^(B13/12))</f>
        <v>4839.1554050494678</v>
      </c>
      <c r="N13" s="12">
        <f>$K$2+NPV((1+'Project Details'!$F$6)^(1/12)-1,$K$3:K13)</f>
        <v>-38876.069604167511</v>
      </c>
    </row>
    <row r="14" spans="1:18" x14ac:dyDescent="0.2">
      <c r="A14" s="115">
        <f>(1+'Project Details'!$F$5)^(B14/12)</f>
        <v>1.0349999999999999</v>
      </c>
      <c r="B14" s="3">
        <v>12</v>
      </c>
      <c r="C14" s="112">
        <f>-'CR Finance Options'!K15</f>
        <v>-6676.8671951744136</v>
      </c>
      <c r="D14" s="33">
        <f>-A14*Electicity!$B$10</f>
        <v>-72.557469863013679</v>
      </c>
      <c r="E14" s="112">
        <f>-Cashflow!A14*'Project Details'!$C$14</f>
        <v>-2587.5</v>
      </c>
      <c r="F14" s="112">
        <f>IF(MOD(B14,12)=0,-A14*'Project Details'!$C$44,0)</f>
        <v>-2587.5</v>
      </c>
      <c r="G14" s="33">
        <f>-(Shipping!$H$24+Maintenance!$G$24)*Cashflow!A14</f>
        <v>-3221.0900718960138</v>
      </c>
      <c r="H14" s="33">
        <f>-Maintenance!$G$25*A14</f>
        <v>-3780.3278331257784</v>
      </c>
      <c r="I14" s="33">
        <f>Revenue!$E$8/12</f>
        <v>5192.8767123287671</v>
      </c>
      <c r="J14" s="119">
        <f>IF(MOD(B14,12)=0,Revenue!$E$4*A14,0)</f>
        <v>160963.19999999998</v>
      </c>
      <c r="K14" s="112">
        <f>SUM(C14:J14)</f>
        <v>147230.23414226953</v>
      </c>
      <c r="L14" s="112">
        <f>SUM(C14:H14)/((1+'Project Details'!$F$6)^(B14/12))</f>
        <v>-17523.928305610389</v>
      </c>
      <c r="M14" s="112">
        <f>SUM(I14:J14)/((1+'Project Details'!$F$6)^(B14/12))</f>
        <v>153848.21917808216</v>
      </c>
      <c r="N14" s="12">
        <f>$K$2+NPV((1+'Project Details'!$F$6)^(1/12)-1,$K$3:K14)</f>
        <v>97448.221268304318</v>
      </c>
    </row>
    <row r="15" spans="1:18" x14ac:dyDescent="0.2">
      <c r="A15" s="115">
        <f>(1+'Project Details'!$F$5)^(B15/12)</f>
        <v>1.0379713801742443</v>
      </c>
      <c r="B15" s="3">
        <v>13</v>
      </c>
      <c r="C15" s="112">
        <f>-'CR Finance Options'!K16</f>
        <v>-6676.8671951744136</v>
      </c>
      <c r="D15" s="33">
        <f>-A15*Electicity!$B$10</f>
        <v>-72.765775010302846</v>
      </c>
      <c r="E15" s="112">
        <f>-Cashflow!A15*'Project Details'!$C$14</f>
        <v>-2594.9284504356106</v>
      </c>
      <c r="F15" s="112">
        <f>IF(MOD(B15,12)=0,-A15*'Project Details'!$C$44,0)</f>
        <v>0</v>
      </c>
      <c r="G15" s="33">
        <f>-(Shipping!$H$24+Maintenance!$G$24)*Cashflow!A15</f>
        <v>-3230.3374952574509</v>
      </c>
      <c r="H15" s="33">
        <f>-Maintenance!$G$25*A15</f>
        <v>-3791.1807714595889</v>
      </c>
      <c r="I15" s="33">
        <f>Revenue!$E$8/12</f>
        <v>5192.8767123287671</v>
      </c>
      <c r="J15" s="119">
        <f>IF(MOD(B15,12)=0,Revenue!$E$4*A15,0)</f>
        <v>0</v>
      </c>
      <c r="K15" s="112">
        <f>SUM(C15:J15)</f>
        <v>-11173.202975008599</v>
      </c>
      <c r="L15" s="112">
        <f>SUM(C15:H15)/((1+'Project Details'!$F$6)^(B15/12))</f>
        <v>-15056.900934300709</v>
      </c>
      <c r="M15" s="112">
        <f>SUM(I15:J15)/((1+'Project Details'!$F$6)^(B15/12))</f>
        <v>4777.4807232587837</v>
      </c>
      <c r="N15" s="12">
        <f>$K$2+NPV((1+'Project Details'!$F$6)^(1/12)-1,$K$3:K15)</f>
        <v>87168.80105726239</v>
      </c>
    </row>
    <row r="16" spans="1:18" x14ac:dyDescent="0.2">
      <c r="A16" s="115">
        <f>(1+'Project Details'!$F$5)^(B16/12)</f>
        <v>1.0409512908800247</v>
      </c>
      <c r="B16" s="3">
        <v>14</v>
      </c>
      <c r="C16" s="112">
        <f>-'CR Finance Options'!K17</f>
        <v>-6676.8671951744136</v>
      </c>
      <c r="D16" s="33">
        <f>-A16*Electicity!$B$10</f>
        <v>-72.974678180572553</v>
      </c>
      <c r="E16" s="112">
        <f>-Cashflow!A16*'Project Details'!$C$14</f>
        <v>-2602.3782272000617</v>
      </c>
      <c r="F16" s="112">
        <f>IF(MOD(B16,12)=0,-A16*'Project Details'!$C$44,0)</f>
        <v>0</v>
      </c>
      <c r="G16" s="33">
        <f>-(Shipping!$H$24+Maintenance!$G$24)*Cashflow!A16</f>
        <v>-3239.6114670347706</v>
      </c>
      <c r="H16" s="33">
        <f>-Maintenance!$G$25*A16</f>
        <v>-3802.06486748016</v>
      </c>
      <c r="I16" s="33">
        <f>Revenue!$E$8/12</f>
        <v>5192.8767123287671</v>
      </c>
      <c r="J16" s="119">
        <f>IF(MOD(B16,12)=0,Revenue!$E$4*A16,0)</f>
        <v>0</v>
      </c>
      <c r="K16" s="112">
        <f>SUM(C16:J16)</f>
        <v>-11201.019722741212</v>
      </c>
      <c r="L16" s="112">
        <f>SUM(C16:H16)/((1+'Project Details'!$F$6)^(B16/12))</f>
        <v>-14986.071688659775</v>
      </c>
      <c r="M16" s="112">
        <f>SUM(I16:J16)/((1+'Project Details'!$F$6)^(B16/12))</f>
        <v>4746.9387762420984</v>
      </c>
      <c r="N16" s="12">
        <f>$K$2+NPV((1+'Project Details'!$F$6)^(1/12)-1,$K$3:K16)</f>
        <v>76929.668144844705</v>
      </c>
    </row>
    <row r="17" spans="1:14" x14ac:dyDescent="0.2">
      <c r="A17" s="115">
        <f>(1+'Project Details'!$F$5)^(B17/12)</f>
        <v>1.0439397566076332</v>
      </c>
      <c r="B17" s="3">
        <v>15</v>
      </c>
      <c r="C17" s="112">
        <f>-'CR Finance Options'!K18</f>
        <v>-6676.8671951744136</v>
      </c>
      <c r="D17" s="33">
        <f>-A17*Electicity!$B$10</f>
        <v>-73.184181090686167</v>
      </c>
      <c r="E17" s="112">
        <f>-Cashflow!A17*'Project Details'!$C$14</f>
        <v>-2609.8493915190829</v>
      </c>
      <c r="F17" s="112">
        <f>IF(MOD(B17,12)=0,-A17*'Project Details'!$C$44,0)</f>
        <v>0</v>
      </c>
      <c r="G17" s="33">
        <f>-(Shipping!$H$24+Maintenance!$G$24)*Cashflow!A17</f>
        <v>-3248.9120634457863</v>
      </c>
      <c r="H17" s="33">
        <f>-Maintenance!$G$25*A17</f>
        <v>-3812.9802106380548</v>
      </c>
      <c r="I17" s="33">
        <f>Revenue!$E$8/12</f>
        <v>5192.8767123287671</v>
      </c>
      <c r="J17" s="119">
        <f>IF(MOD(B17,12)=0,Revenue!$E$4*A17,0)</f>
        <v>0</v>
      </c>
      <c r="K17" s="112">
        <f>SUM(C17:J17)</f>
        <v>-11228.916329539259</v>
      </c>
      <c r="L17" s="112">
        <f>SUM(C17:H17)/((1+'Project Details'!$F$6)^(B17/12))</f>
        <v>-14915.605223123284</v>
      </c>
      <c r="M17" s="112">
        <f>SUM(I17:J17)/((1+'Project Details'!$F$6)^(B17/12))</f>
        <v>4716.5920807777702</v>
      </c>
      <c r="N17" s="12">
        <f>$K$2+NPV((1+'Project Details'!$F$6)^(1/12)-1,$K$3:K17)</f>
        <v>66730.655002499188</v>
      </c>
    </row>
    <row r="18" spans="1:14" x14ac:dyDescent="0.2">
      <c r="A18" s="115">
        <f>(1+'Project Details'!$F$5)^(B18/12)</f>
        <v>1.0469368019176712</v>
      </c>
      <c r="B18" s="3">
        <v>16</v>
      </c>
      <c r="C18" s="112">
        <f>-'CR Finance Options'!K19</f>
        <v>-6676.8671951744136</v>
      </c>
      <c r="D18" s="33">
        <f>-A18*Electicity!$B$10</f>
        <v>-73.394285462436102</v>
      </c>
      <c r="E18" s="112">
        <f>-Cashflow!A18*'Project Details'!$C$14</f>
        <v>-2617.3420047941781</v>
      </c>
      <c r="F18" s="112">
        <f>IF(MOD(B18,12)=0,-A18*'Project Details'!$C$44,0)</f>
        <v>0</v>
      </c>
      <c r="G18" s="33">
        <f>-(Shipping!$H$24+Maintenance!$G$24)*Cashflow!A18</f>
        <v>-3258.2393609271253</v>
      </c>
      <c r="H18" s="33">
        <f>-Maintenance!$G$25*A18</f>
        <v>-3823.9268906406401</v>
      </c>
      <c r="I18" s="33">
        <f>Revenue!$E$8/12</f>
        <v>5192.8767123287671</v>
      </c>
      <c r="J18" s="119">
        <f>IF(MOD(B18,12)=0,Revenue!$E$4*A18,0)</f>
        <v>0</v>
      </c>
      <c r="K18" s="112">
        <f>SUM(C18:J18)</f>
        <v>-11256.893024670027</v>
      </c>
      <c r="L18" s="112">
        <f>SUM(C18:H18)/((1+'Project Details'!$F$6)^(B18/12))</f>
        <v>-14845.499537191872</v>
      </c>
      <c r="M18" s="112">
        <f>SUM(I18:J18)/((1+'Project Details'!$F$6)^(B18/12))</f>
        <v>4686.4393886425387</v>
      </c>
      <c r="N18" s="12">
        <f>$K$2+NPV((1+'Project Details'!$F$6)^(1/12)-1,$K$3:K18)</f>
        <v>56571.594853949849</v>
      </c>
    </row>
    <row r="19" spans="1:14" x14ac:dyDescent="0.2">
      <c r="A19" s="115">
        <f>(1+'Project Details'!$F$5)^(B19/12)</f>
        <v>1.049942451441251</v>
      </c>
      <c r="B19" s="3">
        <v>17</v>
      </c>
      <c r="C19" s="112">
        <f>-'CR Finance Options'!K20</f>
        <v>-6676.8671951744136</v>
      </c>
      <c r="D19" s="33">
        <f>-A19*Electicity!$B$10</f>
        <v>-73.604993022557764</v>
      </c>
      <c r="E19" s="112">
        <f>-Cashflow!A19*'Project Details'!$C$14</f>
        <v>-2624.8561286031277</v>
      </c>
      <c r="F19" s="112">
        <f>IF(MOD(B19,12)=0,-A19*'Project Details'!$C$44,0)</f>
        <v>0</v>
      </c>
      <c r="G19" s="33">
        <f>-(Shipping!$H$24+Maintenance!$G$24)*Cashflow!A19</f>
        <v>-3267.5934361348563</v>
      </c>
      <c r="H19" s="33">
        <f>-Maintenance!$G$25*A19</f>
        <v>-3834.9049974528234</v>
      </c>
      <c r="I19" s="33">
        <f>Revenue!$E$8/12</f>
        <v>5192.8767123287671</v>
      </c>
      <c r="J19" s="119">
        <f>IF(MOD(B19,12)=0,Revenue!$E$4*A19,0)</f>
        <v>0</v>
      </c>
      <c r="K19" s="112">
        <f>SUM(C19:J19)</f>
        <v>-11284.950038059013</v>
      </c>
      <c r="L19" s="112">
        <f>SUM(C19:H19)/((1+'Project Details'!$F$6)^(B19/12))</f>
        <v>-14775.752642026795</v>
      </c>
      <c r="M19" s="112">
        <f>SUM(I19:J19)/((1+'Project Details'!$F$6)^(B19/12))</f>
        <v>4656.4794595929052</v>
      </c>
      <c r="N19" s="12">
        <f>$K$2+NPV((1+'Project Details'!$F$6)^(1/12)-1,$K$3:K19)</f>
        <v>46452.321671515951</v>
      </c>
    </row>
    <row r="20" spans="1:14" x14ac:dyDescent="0.2">
      <c r="A20" s="115">
        <f>(1+'Project Details'!$F$5)^(B20/12)</f>
        <v>1.0529567298801978</v>
      </c>
      <c r="B20" s="3">
        <v>18</v>
      </c>
      <c r="C20" s="112">
        <f>-'CR Finance Options'!K21</f>
        <v>-6676.8671951744136</v>
      </c>
      <c r="D20" s="33">
        <f>-A20*Electicity!$B$10</f>
        <v>-73.816305502743859</v>
      </c>
      <c r="E20" s="112">
        <f>-Cashflow!A20*'Project Details'!$C$14</f>
        <v>-2632.3918247004945</v>
      </c>
      <c r="F20" s="112">
        <f>IF(MOD(B20,12)=0,-A20*'Project Details'!$C$44,0)</f>
        <v>0</v>
      </c>
      <c r="G20" s="33">
        <f>-(Shipping!$H$24+Maintenance!$G$24)*Cashflow!A20</f>
        <v>-3276.9743659451192</v>
      </c>
      <c r="H20" s="33">
        <f>-Maintenance!$G$25*A20</f>
        <v>-3845.9146212977912</v>
      </c>
      <c r="I20" s="33">
        <f>Revenue!$E$8/12</f>
        <v>5192.8767123287671</v>
      </c>
      <c r="J20" s="119">
        <f>IF(MOD(B20,12)=0,Revenue!$E$4*A20,0)</f>
        <v>0</v>
      </c>
      <c r="K20" s="112">
        <f>SUM(C20:J20)</f>
        <v>-11313.087600291796</v>
      </c>
      <c r="L20" s="112">
        <f>SUM(C20:H20)/((1+'Project Details'!$F$6)^(B20/12))</f>
        <v>-14706.362560379379</v>
      </c>
      <c r="M20" s="112">
        <f>SUM(I20:J20)/((1+'Project Details'!$F$6)^(B20/12))</f>
        <v>4626.711061314124</v>
      </c>
      <c r="N20" s="12">
        <f>$K$2+NPV((1+'Project Details'!$F$6)^(1/12)-1,$K$3:K20)</f>
        <v>36372.670172450693</v>
      </c>
    </row>
    <row r="21" spans="1:14" x14ac:dyDescent="0.2">
      <c r="A21" s="115">
        <f>(1+'Project Details'!$F$5)^(B21/12)</f>
        <v>1.0559796620072539</v>
      </c>
      <c r="B21" s="3">
        <v>19</v>
      </c>
      <c r="C21" s="112">
        <f>-'CR Finance Options'!K22</f>
        <v>-6676.8671951744136</v>
      </c>
      <c r="D21" s="33">
        <f>-A21*Electicity!$B$10</f>
        <v>-74.028224639658646</v>
      </c>
      <c r="E21" s="112">
        <f>-Cashflow!A21*'Project Details'!$C$14</f>
        <v>-2639.9491550181347</v>
      </c>
      <c r="F21" s="112">
        <f>IF(MOD(B21,12)=0,-A21*'Project Details'!$C$44,0)</f>
        <v>0</v>
      </c>
      <c r="G21" s="33">
        <f>-(Shipping!$H$24+Maintenance!$G$24)*Cashflow!A21</f>
        <v>-3286.3822274547579</v>
      </c>
      <c r="H21" s="33">
        <f>-Maintenance!$G$25*A21</f>
        <v>-3856.955852657753</v>
      </c>
      <c r="I21" s="33">
        <f>Revenue!$E$8/12</f>
        <v>5192.8767123287671</v>
      </c>
      <c r="J21" s="119">
        <f>IF(MOD(B21,12)=0,Revenue!$E$4*A21,0)</f>
        <v>0</v>
      </c>
      <c r="K21" s="112">
        <f>SUM(C21:J21)</f>
        <v>-11341.305942615951</v>
      </c>
      <c r="L21" s="112">
        <f>SUM(C21:H21)/((1+'Project Details'!$F$6)^(B21/12))</f>
        <v>-14637.327326520901</v>
      </c>
      <c r="M21" s="112">
        <f>SUM(I21:J21)/((1+'Project Details'!$F$6)^(B21/12))</f>
        <v>4597.1329693695106</v>
      </c>
      <c r="N21" s="12">
        <f>$K$2+NPV((1+'Project Details'!$F$6)^(1/12)-1,$K$3:K21)</f>
        <v>26332.475815299302</v>
      </c>
    </row>
    <row r="22" spans="1:14" x14ac:dyDescent="0.2">
      <c r="A22" s="115">
        <f>(1+'Project Details'!$F$5)^(B22/12)</f>
        <v>1.0590112726662815</v>
      </c>
      <c r="B22" s="3">
        <v>20</v>
      </c>
      <c r="C22" s="112">
        <f>-'CR Finance Options'!K23</f>
        <v>-6676.8671951744136</v>
      </c>
      <c r="D22" s="33">
        <f>-A22*Electicity!$B$10</f>
        <v>-74.240752174952164</v>
      </c>
      <c r="E22" s="112">
        <f>-Cashflow!A22*'Project Details'!$C$14</f>
        <v>-2647.5281816657039</v>
      </c>
      <c r="F22" s="112">
        <f>IF(MOD(B22,12)=0,-A22*'Project Details'!$C$44,0)</f>
        <v>0</v>
      </c>
      <c r="G22" s="33">
        <f>-(Shipping!$H$24+Maintenance!$G$24)*Cashflow!A22</f>
        <v>-3295.8170979819538</v>
      </c>
      <c r="H22" s="33">
        <f>-Maintenance!$G$25*A22</f>
        <v>-3868.0287822746832</v>
      </c>
      <c r="I22" s="33">
        <f>Revenue!$E$8/12</f>
        <v>5192.8767123287671</v>
      </c>
      <c r="J22" s="119">
        <f>IF(MOD(B22,12)=0,Revenue!$E$4*A22,0)</f>
        <v>0</v>
      </c>
      <c r="K22" s="112">
        <f>SUM(C22:J22)</f>
        <v>-11369.605296942938</v>
      </c>
      <c r="L22" s="112">
        <f>SUM(C22:H22)/((1+'Project Details'!$F$6)^(B22/12))</f>
        <v>-14568.644986172914</v>
      </c>
      <c r="M22" s="112">
        <f>SUM(I22:J22)/((1+'Project Details'!$F$6)^(B22/12))</f>
        <v>4567.7439671500806</v>
      </c>
      <c r="N22" s="12">
        <f>$K$2+NPV((1+'Project Details'!$F$6)^(1/12)-1,$K$3:K22)</f>
        <v>16331.574796276458</v>
      </c>
    </row>
    <row r="23" spans="1:14" x14ac:dyDescent="0.2">
      <c r="A23" s="115">
        <f>(1+'Project Details'!$F$5)^(B23/12)</f>
        <v>1.0620515867724669</v>
      </c>
      <c r="B23" s="3">
        <v>21</v>
      </c>
      <c r="C23" s="112">
        <f>-'CR Finance Options'!K24</f>
        <v>-6676.8671951744136</v>
      </c>
      <c r="D23" s="33">
        <f>-A23*Electicity!$B$10</f>
        <v>-74.453889855274525</v>
      </c>
      <c r="E23" s="112">
        <f>-Cashflow!A23*'Project Details'!$C$14</f>
        <v>-2655.1289669311673</v>
      </c>
      <c r="F23" s="112">
        <f>IF(MOD(B23,12)=0,-A23*'Project Details'!$C$44,0)</f>
        <v>0</v>
      </c>
      <c r="G23" s="33">
        <f>-(Shipping!$H$24+Maintenance!$G$24)*Cashflow!A23</f>
        <v>-3305.2790550668615</v>
      </c>
      <c r="H23" s="33">
        <f>-Maintenance!$G$25*A23</f>
        <v>-3879.1335011510673</v>
      </c>
      <c r="I23" s="33">
        <f>Revenue!$E$8/12</f>
        <v>5192.8767123287671</v>
      </c>
      <c r="J23" s="119">
        <f>IF(MOD(B23,12)=0,Revenue!$E$4*A23,0)</f>
        <v>0</v>
      </c>
      <c r="K23" s="112">
        <f>SUM(C23:J23)</f>
        <v>-11397.985895850017</v>
      </c>
      <c r="L23" s="112">
        <f>SUM(C23:H23)/((1+'Project Details'!$F$6)^(B23/12))</f>
        <v>-14500.313596438005</v>
      </c>
      <c r="M23" s="112">
        <f>SUM(I23:J23)/((1+'Project Details'!$F$6)^(B23/12))</f>
        <v>4538.5428458245051</v>
      </c>
      <c r="N23" s="12">
        <f>$K$2+NPV((1+'Project Details'!$F$6)^(1/12)-1,$K$3:K23)</f>
        <v>6369.8040456629533</v>
      </c>
    </row>
    <row r="24" spans="1:14" x14ac:dyDescent="0.2">
      <c r="A24" s="115">
        <f>(1+'Project Details'!$F$5)^(B24/12)</f>
        <v>1.0651006293125251</v>
      </c>
      <c r="B24" s="3">
        <v>22</v>
      </c>
      <c r="C24" s="112">
        <f>-'CR Finance Options'!K25</f>
        <v>-6676.8671951744136</v>
      </c>
      <c r="D24" s="33">
        <f>-A24*Electicity!$B$10</f>
        <v>-74.667639432290301</v>
      </c>
      <c r="E24" s="112">
        <f>-Cashflow!A24*'Project Details'!$C$14</f>
        <v>-2662.7515732813126</v>
      </c>
      <c r="F24" s="112">
        <f>IF(MOD(B24,12)=0,-A24*'Project Details'!$C$44,0)</f>
        <v>0</v>
      </c>
      <c r="G24" s="33">
        <f>-(Shipping!$H$24+Maintenance!$G$24)*Cashflow!A24</f>
        <v>-3314.7681764722429</v>
      </c>
      <c r="H24" s="33">
        <f>-Maintenance!$G$25*A24</f>
        <v>-3890.2701005506487</v>
      </c>
      <c r="I24" s="33">
        <f>Revenue!$E$8/12</f>
        <v>5192.8767123287671</v>
      </c>
      <c r="J24" s="119">
        <f>IF(MOD(B24,12)=0,Revenue!$E$4*A24,0)</f>
        <v>0</v>
      </c>
      <c r="K24" s="112">
        <f>SUM(C24:J24)</f>
        <v>-11426.447972582142</v>
      </c>
      <c r="L24" s="112">
        <f>SUM(C24:H24)/((1+'Project Details'!$F$6)^(B24/12))</f>
        <v>-14432.331225730955</v>
      </c>
      <c r="M24" s="112">
        <f>SUM(I24:J24)/((1+'Project Details'!$F$6)^(B24/12))</f>
        <v>4509.5284042893909</v>
      </c>
      <c r="N24" s="12">
        <f>$K$2+NPV((1+'Project Details'!$F$6)^(1/12)-1,$K$3:K24)</f>
        <v>-3552.9987757786148</v>
      </c>
    </row>
    <row r="25" spans="1:14" x14ac:dyDescent="0.2">
      <c r="A25" s="115">
        <f>(1+'Project Details'!$F$5)^(B25/12)</f>
        <v>1.0681584253449063</v>
      </c>
      <c r="B25" s="3">
        <v>23</v>
      </c>
      <c r="C25" s="112">
        <f>-'CR Finance Options'!K26</f>
        <v>-6676.8671951744136</v>
      </c>
      <c r="D25" s="33">
        <f>-A25*Electicity!$B$10</f>
        <v>-74.88200266269294</v>
      </c>
      <c r="E25" s="112">
        <f>-Cashflow!A25*'Project Details'!$C$14</f>
        <v>-2670.396063362266</v>
      </c>
      <c r="F25" s="112">
        <f>IF(MOD(B25,12)=0,-A25*'Project Details'!$C$44,0)</f>
        <v>0</v>
      </c>
      <c r="G25" s="33">
        <f>-(Shipping!$H$24+Maintenance!$G$24)*Cashflow!A25</f>
        <v>-3324.2845401841137</v>
      </c>
      <c r="H25" s="33">
        <f>-Maintenance!$G$25*A25</f>
        <v>-3901.4386719991821</v>
      </c>
      <c r="I25" s="33">
        <f>Revenue!$E$8/12</f>
        <v>5192.8767123287671</v>
      </c>
      <c r="J25" s="119">
        <f>IF(MOD(B25,12)=0,Revenue!$E$4*A25,0)</f>
        <v>0</v>
      </c>
      <c r="K25" s="112">
        <f>SUM(C25:J25)</f>
        <v>-11454.9917610539</v>
      </c>
      <c r="L25" s="112">
        <f>SUM(C25:H25)/((1+'Project Details'!$F$6)^(B25/12))</f>
        <v>-14364.695953710378</v>
      </c>
      <c r="M25" s="112">
        <f>SUM(I25:J25)/((1+'Project Details'!$F$6)^(B25/12))</f>
        <v>4480.6994491198775</v>
      </c>
      <c r="N25" s="12">
        <f>$K$2+NPV((1+'Project Details'!$F$6)^(1/12)-1,$K$3:K25)</f>
        <v>-13436.995280369127</v>
      </c>
    </row>
    <row r="26" spans="1:14" x14ac:dyDescent="0.2">
      <c r="A26" s="115">
        <f>(1+'Project Details'!$F$5)^(B26/12)</f>
        <v>1.0712249999999999</v>
      </c>
      <c r="B26" s="3">
        <v>24</v>
      </c>
      <c r="C26" s="112">
        <f>-'CR Finance Options'!K27</f>
        <v>-6676.8671951744136</v>
      </c>
      <c r="D26" s="33">
        <f>-A26*Electicity!$B$10</f>
        <v>-75.096981308219156</v>
      </c>
      <c r="E26" s="112">
        <f>-Cashflow!A26*'Project Details'!$C$14</f>
        <v>-2678.0624999999995</v>
      </c>
      <c r="F26" s="112">
        <f>IF(MOD(B26,12)=0,-A26*'Project Details'!$C$44,0)</f>
        <v>-2678.0624999999995</v>
      </c>
      <c r="G26" s="33">
        <f>-(Shipping!$H$24+Maintenance!$G$24)*Cashflow!A26</f>
        <v>-3333.8282244123743</v>
      </c>
      <c r="H26" s="33">
        <f>-Maintenance!$G$25*A26</f>
        <v>-3912.6393072851806</v>
      </c>
      <c r="I26" s="33">
        <f>Revenue!$E$8/12</f>
        <v>5192.8767123287671</v>
      </c>
      <c r="J26" s="119">
        <f>IF(MOD(B26,12)=0,Revenue!$E$4*A26,0)</f>
        <v>166596.91199999998</v>
      </c>
      <c r="K26" s="112">
        <f>SUM(C26:J26)</f>
        <v>152435.23200414857</v>
      </c>
      <c r="L26" s="112">
        <f>SUM(C26:H26)/((1+'Project Details'!$F$6)^(B26/12))</f>
        <v>-16593.412815655163</v>
      </c>
      <c r="M26" s="112">
        <f>SUM(I26:J26)/((1+'Project Details'!$F$6)^(B26/12))</f>
        <v>147282.05479452052</v>
      </c>
      <c r="N26" s="12">
        <f>$K$2+NPV((1+'Project Details'!$F$6)^(1/12)-1,$K$3:K26)</f>
        <v>117251.64669849635</v>
      </c>
    </row>
    <row r="27" spans="1:14" x14ac:dyDescent="0.2">
      <c r="A27" s="115">
        <f>(1+'Project Details'!$F$5)^(B27/12)</f>
        <v>1.0743003784803427</v>
      </c>
      <c r="B27" s="3">
        <v>25</v>
      </c>
      <c r="C27" s="112">
        <f>-'CR Finance Options'!K28</f>
        <v>-6676.8671951744136</v>
      </c>
      <c r="D27" s="33">
        <f>-A27*Electicity!$B$10</f>
        <v>-75.312577135663446</v>
      </c>
      <c r="E27" s="112">
        <f>-Cashflow!A27*'Project Details'!$C$14</f>
        <v>-2685.7509462008566</v>
      </c>
      <c r="F27" s="112">
        <f>IF(MOD(B27,12)=0,-A27*'Project Details'!$C$44,0)</f>
        <v>0</v>
      </c>
      <c r="G27" s="33">
        <f>-(Shipping!$H$24+Maintenance!$G$24)*Cashflow!A27</f>
        <v>-3343.3993075914609</v>
      </c>
      <c r="H27" s="33">
        <f>-Maintenance!$G$25*A27</f>
        <v>-3923.8720984606739</v>
      </c>
      <c r="I27" s="33">
        <f>Revenue!$E$8/12</f>
        <v>5192.8767123287671</v>
      </c>
      <c r="J27" s="119">
        <f>IF(MOD(B27,12)=0,Revenue!$E$4*A27,0)</f>
        <v>0</v>
      </c>
      <c r="K27" s="112">
        <f>SUM(C27:J27)</f>
        <v>-11512.325412234301</v>
      </c>
      <c r="L27" s="112">
        <f>SUM(C27:H27)/((1+'Project Details'!$F$6)^(B27/12))</f>
        <v>-14230.459080174724</v>
      </c>
      <c r="M27" s="112">
        <f>SUM(I27:J27)/((1+'Project Details'!$F$6)^(B27/12))</f>
        <v>4423.5932622766504</v>
      </c>
      <c r="N27" s="12">
        <f>$K$2+NPV((1+'Project Details'!$F$6)^(1/12)-1,$K$3:K27)</f>
        <v>107444.78088059826</v>
      </c>
    </row>
    <row r="28" spans="1:14" x14ac:dyDescent="0.2">
      <c r="A28" s="115">
        <f>(1+'Project Details'!$F$5)^(B28/12)</f>
        <v>1.0773845860608253</v>
      </c>
      <c r="B28" s="3">
        <v>26</v>
      </c>
      <c r="C28" s="112">
        <f>-'CR Finance Options'!K29</f>
        <v>-6676.8671951744136</v>
      </c>
      <c r="D28" s="33">
        <f>-A28*Electicity!$B$10</f>
        <v>-75.528791916892573</v>
      </c>
      <c r="E28" s="112">
        <f>-Cashflow!A28*'Project Details'!$C$14</f>
        <v>-2693.4614651520633</v>
      </c>
      <c r="F28" s="112">
        <f>IF(MOD(B28,12)=0,-A28*'Project Details'!$C$44,0)</f>
        <v>0</v>
      </c>
      <c r="G28" s="33">
        <f>-(Shipping!$H$24+Maintenance!$G$24)*Cashflow!A28</f>
        <v>-3352.9978683809868</v>
      </c>
      <c r="H28" s="33">
        <f>-Maintenance!$G$25*A28</f>
        <v>-3935.1371378419649</v>
      </c>
      <c r="I28" s="33">
        <f>Revenue!$E$8/12</f>
        <v>5192.8767123287671</v>
      </c>
      <c r="J28" s="119">
        <f>IF(MOD(B28,12)=0,Revenue!$E$4*A28,0)</f>
        <v>0</v>
      </c>
      <c r="K28" s="112">
        <f>SUM(C28:J28)</f>
        <v>-11541.115746137553</v>
      </c>
      <c r="L28" s="112">
        <f>SUM(C28:H28)/((1+'Project Details'!$F$6)^(B28/12))</f>
        <v>-14163.853693586307</v>
      </c>
      <c r="M28" s="112">
        <f>SUM(I28:J28)/((1+'Project Details'!$F$6)^(B28/12))</f>
        <v>4395.3136817056466</v>
      </c>
      <c r="N28" s="12">
        <f>$K$2+NPV((1+'Project Details'!$F$6)^(1/12)-1,$K$3:K28)</f>
        <v>97676.240868717607</v>
      </c>
    </row>
    <row r="29" spans="1:14" x14ac:dyDescent="0.2">
      <c r="A29" s="115">
        <f>(1+'Project Details'!$F$5)^(B29/12)</f>
        <v>1.0804776480889005</v>
      </c>
      <c r="B29" s="3">
        <v>27</v>
      </c>
      <c r="C29" s="112">
        <f>-'CR Finance Options'!K30</f>
        <v>-6676.8671951744136</v>
      </c>
      <c r="D29" s="33">
        <f>-A29*Electicity!$B$10</f>
        <v>-75.745627428860203</v>
      </c>
      <c r="E29" s="112">
        <f>-Cashflow!A29*'Project Details'!$C$14</f>
        <v>-2701.1941202222511</v>
      </c>
      <c r="F29" s="112">
        <f>IF(MOD(B29,12)=0,-A29*'Project Details'!$C$44,0)</f>
        <v>0</v>
      </c>
      <c r="G29" s="33">
        <f>-(Shipping!$H$24+Maintenance!$G$24)*Cashflow!A29</f>
        <v>-3362.6239856663892</v>
      </c>
      <c r="H29" s="33">
        <f>-Maintenance!$G$25*A29</f>
        <v>-3946.4345180103869</v>
      </c>
      <c r="I29" s="33">
        <f>Revenue!$E$8/12</f>
        <v>5192.8767123287671</v>
      </c>
      <c r="J29" s="119">
        <f>IF(MOD(B29,12)=0,Revenue!$E$4*A29,0)</f>
        <v>0</v>
      </c>
      <c r="K29" s="112">
        <f>SUM(C29:J29)</f>
        <v>-11569.988734173536</v>
      </c>
      <c r="L29" s="112">
        <f>SUM(C29:H29)/((1+'Project Details'!$F$6)^(B29/12))</f>
        <v>-14097.587835403829</v>
      </c>
      <c r="M29" s="112">
        <f>SUM(I29:J29)/((1+'Project Details'!$F$6)^(B29/12))</f>
        <v>4367.2148896090466</v>
      </c>
      <c r="N29" s="12">
        <f>$K$2+NPV((1+'Project Details'!$F$6)^(1/12)-1,$K$3:K29)</f>
        <v>87945.8679229228</v>
      </c>
    </row>
    <row r="30" spans="1:14" x14ac:dyDescent="0.2">
      <c r="A30" s="115">
        <f>(1+'Project Details'!$F$5)^(B30/12)</f>
        <v>1.0835795899847898</v>
      </c>
      <c r="B30" s="3">
        <v>28</v>
      </c>
      <c r="C30" s="112">
        <f>-'CR Finance Options'!K31</f>
        <v>-6676.8671951744136</v>
      </c>
      <c r="D30" s="33">
        <f>-A30*Electicity!$B$10</f>
        <v>-75.96308545362136</v>
      </c>
      <c r="E30" s="112">
        <f>-Cashflow!A30*'Project Details'!$C$14</f>
        <v>-2708.9489749619743</v>
      </c>
      <c r="F30" s="112">
        <f>IF(MOD(B30,12)=0,-A30*'Project Details'!$C$44,0)</f>
        <v>0</v>
      </c>
      <c r="G30" s="33">
        <f>-(Shipping!$H$24+Maintenance!$G$24)*Cashflow!A30</f>
        <v>-3372.277738559575</v>
      </c>
      <c r="H30" s="33">
        <f>-Maintenance!$G$25*A30</f>
        <v>-3957.7643318130627</v>
      </c>
      <c r="I30" s="33">
        <f>Revenue!$E$8/12</f>
        <v>5192.8767123287671</v>
      </c>
      <c r="J30" s="119">
        <f>IF(MOD(B30,12)=0,Revenue!$E$4*A30,0)</f>
        <v>0</v>
      </c>
      <c r="K30" s="112">
        <f>SUM(C30:J30)</f>
        <v>-11598.944613633879</v>
      </c>
      <c r="L30" s="112">
        <f>SUM(C30:H30)/((1+'Project Details'!$F$6)^(B30/12))</f>
        <v>-14031.659640493786</v>
      </c>
      <c r="M30" s="112">
        <f>SUM(I30:J30)/((1+'Project Details'!$F$6)^(B30/12))</f>
        <v>4339.2957302245723</v>
      </c>
      <c r="N30" s="12">
        <f>$K$2+NPV((1+'Project Details'!$F$6)^(1/12)-1,$K$3:K30)</f>
        <v>78253.504012653575</v>
      </c>
    </row>
    <row r="31" spans="1:14" x14ac:dyDescent="0.2">
      <c r="A31" s="115">
        <f>(1+'Project Details'!$F$5)^(B31/12)</f>
        <v>1.0866904372416946</v>
      </c>
      <c r="B31" s="3">
        <v>29</v>
      </c>
      <c r="C31" s="112">
        <f>-'CR Finance Options'!K32</f>
        <v>-6676.8671951744136</v>
      </c>
      <c r="D31" s="33">
        <f>-A31*Electicity!$B$10</f>
        <v>-76.181167778347273</v>
      </c>
      <c r="E31" s="112">
        <f>-Cashflow!A31*'Project Details'!$C$14</f>
        <v>-2716.7260931042365</v>
      </c>
      <c r="F31" s="112">
        <f>IF(MOD(B31,12)=0,-A31*'Project Details'!$C$44,0)</f>
        <v>0</v>
      </c>
      <c r="G31" s="33">
        <f>-(Shipping!$H$24+Maintenance!$G$24)*Cashflow!A31</f>
        <v>-3381.959206399576</v>
      </c>
      <c r="H31" s="33">
        <f>-Maintenance!$G$25*A31</f>
        <v>-3969.1266723636718</v>
      </c>
      <c r="I31" s="33">
        <f>Revenue!$E$8/12</f>
        <v>5192.8767123287671</v>
      </c>
      <c r="J31" s="119">
        <f>IF(MOD(B31,12)=0,Revenue!$E$4*A31,0)</f>
        <v>0</v>
      </c>
      <c r="K31" s="112">
        <f>SUM(C31:J31)</f>
        <v>-11627.983622491478</v>
      </c>
      <c r="L31" s="112">
        <f>SUM(C31:H31)/((1+'Project Details'!$F$6)^(B31/12))</f>
        <v>-13966.067254564949</v>
      </c>
      <c r="M31" s="112">
        <f>SUM(I31:J31)/((1+'Project Details'!$F$6)^(B31/12))</f>
        <v>4311.5550551786155</v>
      </c>
      <c r="N31" s="12">
        <f>$K$2+NPV((1+'Project Details'!$F$6)^(1/12)-1,$K$3:K31)</f>
        <v>68598.991813267232</v>
      </c>
    </row>
    <row r="32" spans="1:14" x14ac:dyDescent="0.2">
      <c r="A32" s="115">
        <f>(1+'Project Details'!$F$5)^(B32/12)</f>
        <v>1.0898102154260045</v>
      </c>
      <c r="B32" s="3">
        <v>30</v>
      </c>
      <c r="C32" s="112">
        <f>-'CR Finance Options'!K33</f>
        <v>-6676.8671951744136</v>
      </c>
      <c r="D32" s="33">
        <f>-A32*Electicity!$B$10</f>
        <v>-76.399876195339885</v>
      </c>
      <c r="E32" s="112">
        <f>-Cashflow!A32*'Project Details'!$C$14</f>
        <v>-2724.5255385650112</v>
      </c>
      <c r="F32" s="112">
        <f>IF(MOD(B32,12)=0,-A32*'Project Details'!$C$44,0)</f>
        <v>0</v>
      </c>
      <c r="G32" s="33">
        <f>-(Shipping!$H$24+Maintenance!$G$24)*Cashflow!A32</f>
        <v>-3391.6684687531979</v>
      </c>
      <c r="H32" s="33">
        <f>-Maintenance!$G$25*A32</f>
        <v>-3980.5216330432131</v>
      </c>
      <c r="I32" s="33">
        <f>Revenue!$E$8/12</f>
        <v>5192.8767123287671</v>
      </c>
      <c r="J32" s="119">
        <f>IF(MOD(B32,12)=0,Revenue!$E$4*A32,0)</f>
        <v>0</v>
      </c>
      <c r="K32" s="112">
        <f>SUM(C32:J32)</f>
        <v>-11657.105999402409</v>
      </c>
      <c r="L32" s="112">
        <f>SUM(C32:H32)/((1+'Project Details'!$F$6)^(B32/12))</f>
        <v>-13900.808834102842</v>
      </c>
      <c r="M32" s="112">
        <f>SUM(I32:J32)/((1+'Project Details'!$F$6)^(B32/12))</f>
        <v>4283.9917234390032</v>
      </c>
      <c r="N32" s="12">
        <f>$K$2+NPV((1+'Project Details'!$F$6)^(1/12)-1,$K$3:K32)</f>
        <v>58982.174702603392</v>
      </c>
    </row>
    <row r="33" spans="1:14" x14ac:dyDescent="0.2">
      <c r="A33" s="115">
        <f>(1+'Project Details'!$F$5)^(B33/12)</f>
        <v>1.0929389501775078</v>
      </c>
      <c r="B33" s="3">
        <v>31</v>
      </c>
      <c r="C33" s="112">
        <f>-'CR Finance Options'!K34</f>
        <v>-6676.8671951744136</v>
      </c>
      <c r="D33" s="33">
        <f>-A33*Electicity!$B$10</f>
        <v>-76.619212502046707</v>
      </c>
      <c r="E33" s="112">
        <f>-Cashflow!A33*'Project Details'!$C$14</f>
        <v>-2732.3473754437696</v>
      </c>
      <c r="F33" s="112">
        <f>IF(MOD(B33,12)=0,-A33*'Project Details'!$C$44,0)</f>
        <v>0</v>
      </c>
      <c r="G33" s="33">
        <f>-(Shipping!$H$24+Maintenance!$G$24)*Cashflow!A33</f>
        <v>-3401.405605415674</v>
      </c>
      <c r="H33" s="33">
        <f>-Maintenance!$G$25*A33</f>
        <v>-3991.949307500774</v>
      </c>
      <c r="I33" s="33">
        <f>Revenue!$E$8/12</f>
        <v>5192.8767123287671</v>
      </c>
      <c r="J33" s="119">
        <f>IF(MOD(B33,12)=0,Revenue!$E$4*A33,0)</f>
        <v>0</v>
      </c>
      <c r="K33" s="112">
        <f>SUM(C33:J33)</f>
        <v>-11686.311983707908</v>
      </c>
      <c r="L33" s="112">
        <f>SUM(C33:H33)/((1+'Project Details'!$F$6)^(B33/12))</f>
        <v>-13835.882546304683</v>
      </c>
      <c r="M33" s="112">
        <f>SUM(I33:J33)/((1+'Project Details'!$F$6)^(B33/12))</f>
        <v>4256.6046012680654</v>
      </c>
      <c r="N33" s="12">
        <f>$K$2+NPV((1+'Project Details'!$F$6)^(1/12)-1,$K$3:K33)</f>
        <v>49402.896757566763</v>
      </c>
    </row>
    <row r="34" spans="1:14" x14ac:dyDescent="0.2">
      <c r="A34" s="115">
        <f>(1+'Project Details'!$F$5)^(B34/12)</f>
        <v>1.0960766672096012</v>
      </c>
      <c r="B34" s="3">
        <v>32</v>
      </c>
      <c r="C34" s="112">
        <f>-'CR Finance Options'!K35</f>
        <v>-6676.8671951744136</v>
      </c>
      <c r="D34" s="33">
        <f>-A34*Electicity!$B$10</f>
        <v>-76.83917850107548</v>
      </c>
      <c r="E34" s="112">
        <f>-Cashflow!A34*'Project Details'!$C$14</f>
        <v>-2740.1916680240029</v>
      </c>
      <c r="F34" s="112">
        <f>IF(MOD(B34,12)=0,-A34*'Project Details'!$C$44,0)</f>
        <v>0</v>
      </c>
      <c r="G34" s="33">
        <f>-(Shipping!$H$24+Maintenance!$G$24)*Cashflow!A34</f>
        <v>-3411.1706964113218</v>
      </c>
      <c r="H34" s="33">
        <f>-Maintenance!$G$25*A34</f>
        <v>-4003.4097896542962</v>
      </c>
      <c r="I34" s="33">
        <f>Revenue!$E$8/12</f>
        <v>5192.8767123287671</v>
      </c>
      <c r="J34" s="119">
        <f>IF(MOD(B34,12)=0,Revenue!$E$4*A34,0)</f>
        <v>0</v>
      </c>
      <c r="K34" s="112">
        <f>SUM(C34:J34)</f>
        <v>-11715.601815436343</v>
      </c>
      <c r="L34" s="112">
        <f>SUM(C34:H34)/((1+'Project Details'!$F$6)^(B34/12))</f>
        <v>-13771.286569014701</v>
      </c>
      <c r="M34" s="112">
        <f>SUM(I34:J34)/((1+'Project Details'!$F$6)^(B34/12))</f>
        <v>4229.392562176</v>
      </c>
      <c r="N34" s="12">
        <f>$K$2+NPV((1+'Project Details'!$F$6)^(1/12)-1,$K$3:K34)</f>
        <v>39861.002750728054</v>
      </c>
    </row>
    <row r="35" spans="1:14" x14ac:dyDescent="0.2">
      <c r="A35" s="115">
        <f>(1+'Project Details'!$F$5)^(B35/12)</f>
        <v>1.0992233923095032</v>
      </c>
      <c r="B35" s="3">
        <v>33</v>
      </c>
      <c r="C35" s="112">
        <f>-'CR Finance Options'!K36</f>
        <v>-6676.8671951744136</v>
      </c>
      <c r="D35" s="33">
        <f>-A35*Electicity!$B$10</f>
        <v>-77.059776000209126</v>
      </c>
      <c r="E35" s="112">
        <f>-Cashflow!A35*'Project Details'!$C$14</f>
        <v>-2748.0584807737578</v>
      </c>
      <c r="F35" s="112">
        <f>IF(MOD(B35,12)=0,-A35*'Project Details'!$C$44,0)</f>
        <v>0</v>
      </c>
      <c r="G35" s="33">
        <f>-(Shipping!$H$24+Maintenance!$G$24)*Cashflow!A35</f>
        <v>-3420.9638219942012</v>
      </c>
      <c r="H35" s="33">
        <f>-Maintenance!$G$25*A35</f>
        <v>-4014.9031736913544</v>
      </c>
      <c r="I35" s="33">
        <f>Revenue!$E$8/12</f>
        <v>5192.8767123287671</v>
      </c>
      <c r="J35" s="119">
        <f>IF(MOD(B35,12)=0,Revenue!$E$4*A35,0)</f>
        <v>0</v>
      </c>
      <c r="K35" s="112">
        <f>SUM(C35:J35)</f>
        <v>-11744.97573530517</v>
      </c>
      <c r="L35" s="112">
        <f>SUM(C35:H35)/((1+'Project Details'!$F$6)^(B35/12))</f>
        <v>-13707.019090659856</v>
      </c>
      <c r="M35" s="112">
        <f>SUM(I35:J35)/((1+'Project Details'!$F$6)^(B35/12))</f>
        <v>4202.3544868745412</v>
      </c>
      <c r="N35" s="12">
        <f>$K$2+NPV((1+'Project Details'!$F$6)^(1/12)-1,$K$3:K35)</f>
        <v>30356.338146942726</v>
      </c>
    </row>
    <row r="36" spans="1:14" x14ac:dyDescent="0.2">
      <c r="A36" s="115">
        <f>(1+'Project Details'!$F$5)^(B36/12)</f>
        <v>1.1023791513384635</v>
      </c>
      <c r="B36" s="3">
        <v>34</v>
      </c>
      <c r="C36" s="112">
        <f>-'CR Finance Options'!K37</f>
        <v>-6676.8671951744136</v>
      </c>
      <c r="D36" s="33">
        <f>-A36*Electicity!$B$10</f>
        <v>-77.281006812420458</v>
      </c>
      <c r="E36" s="112">
        <f>-Cashflow!A36*'Project Details'!$C$14</f>
        <v>-2755.9478783461586</v>
      </c>
      <c r="F36" s="112">
        <f>IF(MOD(B36,12)=0,-A36*'Project Details'!$C$44,0)</f>
        <v>0</v>
      </c>
      <c r="G36" s="33">
        <f>-(Shipping!$H$24+Maintenance!$G$24)*Cashflow!A36</f>
        <v>-3430.7850626487716</v>
      </c>
      <c r="H36" s="33">
        <f>-Maintenance!$G$25*A36</f>
        <v>-4026.4295540699213</v>
      </c>
      <c r="I36" s="33">
        <f>Revenue!$E$8/12</f>
        <v>5192.8767123287671</v>
      </c>
      <c r="J36" s="119">
        <f>IF(MOD(B36,12)=0,Revenue!$E$4*A36,0)</f>
        <v>0</v>
      </c>
      <c r="K36" s="112">
        <f>SUM(C36:J36)</f>
        <v>-11774.433984722918</v>
      </c>
      <c r="L36" s="112">
        <f>SUM(C36:H36)/((1+'Project Details'!$F$6)^(B36/12))</f>
        <v>-13643.078310185963</v>
      </c>
      <c r="M36" s="112">
        <f>SUM(I36:J36)/((1+'Project Details'!$F$6)^(B36/12))</f>
        <v>4175.4892632309165</v>
      </c>
      <c r="N36" s="12">
        <f>$K$2+NPV((1+'Project Details'!$F$6)^(1/12)-1,$K$3:K36)</f>
        <v>20888.749099987668</v>
      </c>
    </row>
    <row r="37" spans="1:14" x14ac:dyDescent="0.2">
      <c r="A37" s="115">
        <f>(1+'Project Details'!$F$5)^(B37/12)</f>
        <v>1.1055439702319778</v>
      </c>
      <c r="B37" s="3">
        <v>35</v>
      </c>
      <c r="C37" s="112">
        <f>-'CR Finance Options'!K38</f>
        <v>-6676.8671951744136</v>
      </c>
      <c r="D37" s="33">
        <f>-A37*Electicity!$B$10</f>
        <v>-77.502872755887182</v>
      </c>
      <c r="E37" s="112">
        <f>-Cashflow!A37*'Project Details'!$C$14</f>
        <v>-2763.8599255799445</v>
      </c>
      <c r="F37" s="112">
        <f>IF(MOD(B37,12)=0,-A37*'Project Details'!$C$44,0)</f>
        <v>0</v>
      </c>
      <c r="G37" s="33">
        <f>-(Shipping!$H$24+Maintenance!$G$24)*Cashflow!A37</f>
        <v>-3440.6344990905568</v>
      </c>
      <c r="H37" s="33">
        <f>-Maintenance!$G$25*A37</f>
        <v>-4037.9890255191526</v>
      </c>
      <c r="I37" s="33">
        <f>Revenue!$E$8/12</f>
        <v>5192.8767123287671</v>
      </c>
      <c r="J37" s="119">
        <f>IF(MOD(B37,12)=0,Revenue!$E$4*A37,0)</f>
        <v>0</v>
      </c>
      <c r="K37" s="112">
        <f>SUM(C37:J37)</f>
        <v>-11803.976805791188</v>
      </c>
      <c r="L37" s="112">
        <f>SUM(C37:H37)/((1+'Project Details'!$F$6)^(B37/12))</f>
        <v>-13579.462436994212</v>
      </c>
      <c r="M37" s="112">
        <f>SUM(I37:J37)/((1+'Project Details'!$F$6)^(B37/12))</f>
        <v>4148.7957862221092</v>
      </c>
      <c r="N37" s="12">
        <f>$K$2+NPV((1+'Project Details'!$F$6)^(1/12)-1,$K$3:K37)</f>
        <v>11458.082449215552</v>
      </c>
    </row>
    <row r="38" spans="1:14" x14ac:dyDescent="0.2">
      <c r="A38" s="115">
        <f>(1+'Project Details'!$F$5)^(B38/12)</f>
        <v>1.1087178749999997</v>
      </c>
      <c r="B38" s="3">
        <v>36</v>
      </c>
      <c r="C38" s="112">
        <f>-'CR Finance Options'!K39</f>
        <v>-6676.8671951744136</v>
      </c>
      <c r="D38" s="33">
        <f>-A38*Electicity!$B$10</f>
        <v>-77.725375654006825</v>
      </c>
      <c r="E38" s="112">
        <f>-Cashflow!A38*'Project Details'!$C$14</f>
        <v>-2771.7946874999993</v>
      </c>
      <c r="F38" s="112">
        <f>IF(MOD(B38,12)=0,-A38*'Project Details'!$C$44,0)</f>
        <v>-2771.7946874999993</v>
      </c>
      <c r="G38" s="33">
        <f>-(Shipping!$H$24+Maintenance!$G$24)*Cashflow!A38</f>
        <v>-3450.5122122668072</v>
      </c>
      <c r="H38" s="33">
        <f>-Maintenance!$G$25*A38</f>
        <v>-4049.5816830401614</v>
      </c>
      <c r="I38" s="33">
        <f>Revenue!$E$8/12</f>
        <v>5192.8767123287671</v>
      </c>
      <c r="J38" s="119">
        <f>IF(MOD(B38,12)=0,Revenue!$E$4*A38,0)</f>
        <v>172427.80391999995</v>
      </c>
      <c r="K38" s="112">
        <f>SUM(C38:J38)</f>
        <v>157822.40479119332</v>
      </c>
      <c r="L38" s="112">
        <f>SUM(C38:H38)/((1+'Project Details'!$F$6)^(B38/12))</f>
        <v>-15716.509679303987</v>
      </c>
      <c r="M38" s="112">
        <f>SUM(I38:J38)/((1+'Project Details'!$F$6)^(B38/12))</f>
        <v>141001.02295788933</v>
      </c>
      <c r="N38" s="12">
        <f>$K$2+NPV((1+'Project Details'!$F$6)^(1/12)-1,$K$3:K38)</f>
        <v>136742.59572780103</v>
      </c>
    </row>
    <row r="39" spans="1:14" x14ac:dyDescent="0.2">
      <c r="A39" s="115">
        <f>(1+'Project Details'!$F$5)^(B39/12)</f>
        <v>1.1119008917271547</v>
      </c>
      <c r="B39" s="3">
        <v>37</v>
      </c>
      <c r="C39" s="112">
        <f>-'CR Finance Options'!K40</f>
        <v>0</v>
      </c>
      <c r="D39" s="33">
        <f>-A39*Electicity!$B$10</f>
        <v>-77.948517335411665</v>
      </c>
      <c r="E39" s="112">
        <f>-Cashflow!A39*'Project Details'!$C$14</f>
        <v>-2779.7522293178868</v>
      </c>
      <c r="F39" s="112">
        <f>IF(MOD(B39,12)=0,-A39*'Project Details'!$C$44,0)</f>
        <v>0</v>
      </c>
      <c r="G39" s="33">
        <f>-(Shipping!$H$24+Maintenance!$G$24)*Cashflow!A39</f>
        <v>-3460.4182833571622</v>
      </c>
      <c r="H39" s="33">
        <f>-Maintenance!$G$25*A39</f>
        <v>-4061.2076219067976</v>
      </c>
      <c r="I39" s="33">
        <f>Revenue!$E$8/12</f>
        <v>5192.8767123287671</v>
      </c>
      <c r="J39" s="119">
        <f>IF(MOD(B39,12)=0,Revenue!$E$4*A39,0)</f>
        <v>0</v>
      </c>
      <c r="K39" s="112">
        <f>SUM(C39:J39)</f>
        <v>-5186.4499395884905</v>
      </c>
      <c r="L39" s="112">
        <f>SUM(C39:H39)/((1+'Project Details'!$F$6)^(B39/12))</f>
        <v>-8186.7702103348747</v>
      </c>
      <c r="M39" s="112">
        <f>SUM(I39:J39)/((1+'Project Details'!$F$6)^(B39/12))</f>
        <v>4095.9196872931948</v>
      </c>
      <c r="N39" s="12">
        <f>$K$2+NPV((1+'Project Details'!$F$6)^(1/12)-1,$K$3:K39)</f>
        <v>132651.74520475935</v>
      </c>
    </row>
    <row r="40" spans="1:14" x14ac:dyDescent="0.2">
      <c r="A40" s="115">
        <f>(1+'Project Details'!$F$5)^(B40/12)</f>
        <v>1.1150930465729543</v>
      </c>
      <c r="B40" s="3">
        <v>38</v>
      </c>
      <c r="C40" s="112">
        <f>-'CR Finance Options'!K41</f>
        <v>0</v>
      </c>
      <c r="D40" s="33">
        <f>-A40*Electicity!$B$10</f>
        <v>-78.172299633983812</v>
      </c>
      <c r="E40" s="112">
        <f>-Cashflow!A40*'Project Details'!$C$14</f>
        <v>-2787.7326164323858</v>
      </c>
      <c r="F40" s="112">
        <f>IF(MOD(B40,12)=0,-A40*'Project Details'!$C$44,0)</f>
        <v>0</v>
      </c>
      <c r="G40" s="33">
        <f>-(Shipping!$H$24+Maintenance!$G$24)*Cashflow!A40</f>
        <v>-3470.3527937743215</v>
      </c>
      <c r="H40" s="33">
        <f>-Maintenance!$G$25*A40</f>
        <v>-4072.8669376664338</v>
      </c>
      <c r="I40" s="33">
        <f>Revenue!$E$8/12</f>
        <v>5192.8767123287671</v>
      </c>
      <c r="J40" s="119">
        <f>IF(MOD(B40,12)=0,Revenue!$E$4*A40,0)</f>
        <v>0</v>
      </c>
      <c r="K40" s="112">
        <f>SUM(C40:J40)</f>
        <v>-5216.2479351783568</v>
      </c>
      <c r="L40" s="112">
        <f>SUM(C40:H40)/((1+'Project Details'!$F$6)^(B40/12))</f>
        <v>-8157.7861566820375</v>
      </c>
      <c r="M40" s="112">
        <f>SUM(I40:J40)/((1+'Project Details'!$F$6)^(B40/12))</f>
        <v>4069.7348904681908</v>
      </c>
      <c r="N40" s="12">
        <f>$K$2+NPV((1+'Project Details'!$F$6)^(1/12)-1,$K$3:K40)</f>
        <v>128563.69393854549</v>
      </c>
    </row>
    <row r="41" spans="1:14" x14ac:dyDescent="0.2">
      <c r="A41" s="115">
        <f>(1+'Project Details'!$F$5)^(B41/12)</f>
        <v>1.1182943657720117</v>
      </c>
      <c r="B41" s="3">
        <v>39</v>
      </c>
      <c r="C41" s="112">
        <f>-'CR Finance Options'!K42</f>
        <v>0</v>
      </c>
      <c r="D41" s="33">
        <f>-A41*Electicity!$B$10</f>
        <v>-78.396724388870282</v>
      </c>
      <c r="E41" s="112">
        <f>-Cashflow!A41*'Project Details'!$C$14</f>
        <v>-2795.7359144300294</v>
      </c>
      <c r="F41" s="112">
        <f>IF(MOD(B41,12)=0,-A41*'Project Details'!$C$44,0)</f>
        <v>0</v>
      </c>
      <c r="G41" s="33">
        <f>-(Shipping!$H$24+Maintenance!$G$24)*Cashflow!A41</f>
        <v>-3480.3158251647119</v>
      </c>
      <c r="H41" s="33">
        <f>-Maintenance!$G$25*A41</f>
        <v>-4084.5597261407497</v>
      </c>
      <c r="I41" s="33">
        <f>Revenue!$E$8/12</f>
        <v>5192.8767123287671</v>
      </c>
      <c r="J41" s="119">
        <f>IF(MOD(B41,12)=0,Revenue!$E$4*A41,0)</f>
        <v>0</v>
      </c>
      <c r="K41" s="112">
        <f>SUM(C41:J41)</f>
        <v>-5246.131477795594</v>
      </c>
      <c r="L41" s="112">
        <f>SUM(C41:H41)/((1+'Project Details'!$F$6)^(B41/12))</f>
        <v>-8128.9047168005145</v>
      </c>
      <c r="M41" s="112">
        <f>SUM(I41:J41)/((1+'Project Details'!$F$6)^(B41/12))</f>
        <v>4043.7174903787468</v>
      </c>
      <c r="N41" s="12">
        <f>$K$2+NPV((1+'Project Details'!$F$6)^(1/12)-1,$K$3:K41)</f>
        <v>124478.50671212372</v>
      </c>
    </row>
    <row r="42" spans="1:14" x14ac:dyDescent="0.2">
      <c r="A42" s="115">
        <f>(1+'Project Details'!$F$5)^(B42/12)</f>
        <v>1.1215048756342572</v>
      </c>
      <c r="B42" s="3">
        <v>40</v>
      </c>
      <c r="C42" s="112">
        <f>-'CR Finance Options'!K43</f>
        <v>0</v>
      </c>
      <c r="D42" s="33">
        <f>-A42*Electicity!$B$10</f>
        <v>-78.621793444498095</v>
      </c>
      <c r="E42" s="112">
        <f>-Cashflow!A42*'Project Details'!$C$14</f>
        <v>-2803.7621890856431</v>
      </c>
      <c r="F42" s="112">
        <f>IF(MOD(B42,12)=0,-A42*'Project Details'!$C$44,0)</f>
        <v>0</v>
      </c>
      <c r="G42" s="33">
        <f>-(Shipping!$H$24+Maintenance!$G$24)*Cashflow!A42</f>
        <v>-3490.3074594091595</v>
      </c>
      <c r="H42" s="33">
        <f>-Maintenance!$G$25*A42</f>
        <v>-4096.2860834265193</v>
      </c>
      <c r="I42" s="33">
        <f>Revenue!$E$8/12</f>
        <v>5192.8767123287671</v>
      </c>
      <c r="J42" s="119">
        <f>IF(MOD(B42,12)=0,Revenue!$E$4*A42,0)</f>
        <v>0</v>
      </c>
      <c r="K42" s="112">
        <f>SUM(C42:J42)</f>
        <v>-5276.1008130370519</v>
      </c>
      <c r="L42" s="112">
        <f>SUM(C42:H42)/((1+'Project Details'!$F$6)^(B42/12))</f>
        <v>-8100.1255274013638</v>
      </c>
      <c r="M42" s="112">
        <f>SUM(I42:J42)/((1+'Project Details'!$F$6)^(B42/12))</f>
        <v>4017.8664168746031</v>
      </c>
      <c r="N42" s="12">
        <f>$K$2+NPV((1+'Project Details'!$F$6)^(1/12)-1,$K$3:K42)</f>
        <v>120396.24760159696</v>
      </c>
    </row>
    <row r="43" spans="1:14" x14ac:dyDescent="0.2">
      <c r="A43" s="115">
        <f>(1+'Project Details'!$F$5)^(B43/12)</f>
        <v>1.1247246025451538</v>
      </c>
      <c r="B43" s="3">
        <v>41</v>
      </c>
      <c r="C43" s="112">
        <f>-'CR Finance Options'!K44</f>
        <v>0</v>
      </c>
      <c r="D43" s="33">
        <f>-A43*Electicity!$B$10</f>
        <v>-78.847508650589418</v>
      </c>
      <c r="E43" s="112">
        <f>-Cashflow!A43*'Project Details'!$C$14</f>
        <v>-2811.8115063628848</v>
      </c>
      <c r="F43" s="112">
        <f>IF(MOD(B43,12)=0,-A43*'Project Details'!$C$44,0)</f>
        <v>0</v>
      </c>
      <c r="G43" s="33">
        <f>-(Shipping!$H$24+Maintenance!$G$24)*Cashflow!A43</f>
        <v>-3500.3277786235608</v>
      </c>
      <c r="H43" s="33">
        <f>-Maintenance!$G$25*A43</f>
        <v>-4108.0461058964001</v>
      </c>
      <c r="I43" s="33">
        <f>Revenue!$E$8/12</f>
        <v>5192.8767123287671</v>
      </c>
      <c r="J43" s="119">
        <f>IF(MOD(B43,12)=0,Revenue!$E$4*A43,0)</f>
        <v>0</v>
      </c>
      <c r="K43" s="112">
        <f>SUM(C43:J43)</f>
        <v>-5306.1561872046677</v>
      </c>
      <c r="L43" s="112">
        <f>SUM(C43:H43)/((1+'Project Details'!$F$6)^(B43/12))</f>
        <v>-8071.4482264818234</v>
      </c>
      <c r="M43" s="112">
        <f>SUM(I43:J43)/((1+'Project Details'!$F$6)^(B43/12))</f>
        <v>3992.1806066468657</v>
      </c>
      <c r="N43" s="12">
        <f>$K$2+NPV((1+'Project Details'!$F$6)^(1/12)-1,$K$3:K43)</f>
        <v>116316.97998176198</v>
      </c>
    </row>
    <row r="44" spans="1:14" x14ac:dyDescent="0.2">
      <c r="A44" s="115">
        <f>(1+'Project Details'!$F$5)^(B44/12)</f>
        <v>1.1279535729659147</v>
      </c>
      <c r="B44" s="3">
        <v>42</v>
      </c>
      <c r="C44" s="112">
        <f>-'CR Finance Options'!K45</f>
        <v>0</v>
      </c>
      <c r="D44" s="33">
        <f>-A44*Electicity!$B$10</f>
        <v>-79.073871862176773</v>
      </c>
      <c r="E44" s="112">
        <f>-Cashflow!A44*'Project Details'!$C$14</f>
        <v>-2819.8839324147866</v>
      </c>
      <c r="F44" s="112">
        <f>IF(MOD(B44,12)=0,-A44*'Project Details'!$C$44,0)</f>
        <v>0</v>
      </c>
      <c r="G44" s="33">
        <f>-(Shipping!$H$24+Maintenance!$G$24)*Cashflow!A44</f>
        <v>-3510.3768651595597</v>
      </c>
      <c r="H44" s="33">
        <f>-Maintenance!$G$25*A44</f>
        <v>-4119.8398901997261</v>
      </c>
      <c r="I44" s="33">
        <f>Revenue!$E$8/12</f>
        <v>5192.8767123287671</v>
      </c>
      <c r="J44" s="119">
        <f>IF(MOD(B44,12)=0,Revenue!$E$4*A44,0)</f>
        <v>0</v>
      </c>
      <c r="K44" s="112">
        <f>SUM(C44:J44)</f>
        <v>-5336.2978473074818</v>
      </c>
      <c r="L44" s="112">
        <f>SUM(C44:H44)/((1+'Project Details'!$F$6)^(B44/12))</f>
        <v>-8042.8724533207396</v>
      </c>
      <c r="M44" s="112">
        <f>SUM(I44:J44)/((1+'Project Details'!$F$6)^(B44/12))</f>
        <v>3966.6590031842616</v>
      </c>
      <c r="N44" s="12">
        <f>$K$2+NPV((1+'Project Details'!$F$6)^(1/12)-1,$K$3:K44)</f>
        <v>112240.7665316255</v>
      </c>
    </row>
    <row r="45" spans="1:14" x14ac:dyDescent="0.2">
      <c r="A45" s="115">
        <f>(1+'Project Details'!$F$5)^(B45/12)</f>
        <v>1.1311918134337204</v>
      </c>
      <c r="B45" s="3">
        <v>43</v>
      </c>
      <c r="C45" s="112">
        <f>-'CR Finance Options'!K46</f>
        <v>0</v>
      </c>
      <c r="D45" s="33">
        <f>-A45*Electicity!$B$10</f>
        <v>-79.300884939618328</v>
      </c>
      <c r="E45" s="112">
        <f>-Cashflow!A45*'Project Details'!$C$14</f>
        <v>-2827.979533584301</v>
      </c>
      <c r="F45" s="112">
        <f>IF(MOD(B45,12)=0,-A45*'Project Details'!$C$44,0)</f>
        <v>0</v>
      </c>
      <c r="G45" s="33">
        <f>-(Shipping!$H$24+Maintenance!$G$24)*Cashflow!A45</f>
        <v>-3520.4548016052227</v>
      </c>
      <c r="H45" s="33">
        <f>-Maintenance!$G$25*A45</f>
        <v>-4131.6675332633013</v>
      </c>
      <c r="I45" s="33">
        <f>Revenue!$E$8/12</f>
        <v>5192.8767123287671</v>
      </c>
      <c r="J45" s="119">
        <f>IF(MOD(B45,12)=0,Revenue!$E$4*A45,0)</f>
        <v>0</v>
      </c>
      <c r="K45" s="112">
        <f>SUM(C45:J45)</f>
        <v>-5366.5260410636747</v>
      </c>
      <c r="L45" s="112">
        <f>SUM(C45:H45)/((1+'Project Details'!$F$6)^(B45/12))</f>
        <v>-8014.3978484740455</v>
      </c>
      <c r="M45" s="112">
        <f>SUM(I45:J45)/((1+'Project Details'!$F$6)^(B45/12))</f>
        <v>3941.3005567296896</v>
      </c>
      <c r="N45" s="12">
        <f>$K$2+NPV((1+'Project Details'!$F$6)^(1/12)-1,$K$3:K45)</f>
        <v>108167.66923988114</v>
      </c>
    </row>
    <row r="46" spans="1:14" x14ac:dyDescent="0.2">
      <c r="A46" s="115">
        <f>(1+'Project Details'!$F$5)^(B46/12)</f>
        <v>1.1344393505619372</v>
      </c>
      <c r="B46" s="3">
        <v>44</v>
      </c>
      <c r="C46" s="112">
        <f>-'CR Finance Options'!K47</f>
        <v>0</v>
      </c>
      <c r="D46" s="33">
        <f>-A46*Electicity!$B$10</f>
        <v>-79.528549748613116</v>
      </c>
      <c r="E46" s="112">
        <f>-Cashflow!A46*'Project Details'!$C$14</f>
        <v>-2836.0983764048433</v>
      </c>
      <c r="F46" s="112">
        <f>IF(MOD(B46,12)=0,-A46*'Project Details'!$C$44,0)</f>
        <v>0</v>
      </c>
      <c r="G46" s="33">
        <f>-(Shipping!$H$24+Maintenance!$G$24)*Cashflow!A46</f>
        <v>-3530.561670785718</v>
      </c>
      <c r="H46" s="33">
        <f>-Maintenance!$G$25*A46</f>
        <v>-4143.5291322921967</v>
      </c>
      <c r="I46" s="33">
        <f>Revenue!$E$8/12</f>
        <v>5192.8767123287671</v>
      </c>
      <c r="J46" s="119">
        <f>IF(MOD(B46,12)=0,Revenue!$E$4*A46,0)</f>
        <v>0</v>
      </c>
      <c r="K46" s="112">
        <f>SUM(C46:J46)</f>
        <v>-5396.8410169026047</v>
      </c>
      <c r="L46" s="112">
        <f>SUM(C46:H46)/((1+'Project Details'!$F$6)^(B46/12))</f>
        <v>-7986.0240537702321</v>
      </c>
      <c r="M46" s="112">
        <f>SUM(I46:J46)/((1+'Project Details'!$F$6)^(B46/12))</f>
        <v>3916.1042242370368</v>
      </c>
      <c r="N46" s="12">
        <f>$K$2+NPV((1+'Project Details'!$F$6)^(1/12)-1,$K$3:K46)</f>
        <v>104097.74941034794</v>
      </c>
    </row>
    <row r="47" spans="1:14" x14ac:dyDescent="0.2">
      <c r="A47" s="115">
        <f>(1+'Project Details'!$F$5)^(B47/12)</f>
        <v>1.1376962110403357</v>
      </c>
      <c r="B47" s="3">
        <v>45</v>
      </c>
      <c r="C47" s="112">
        <f>-'CR Finance Options'!K48</f>
        <v>0</v>
      </c>
      <c r="D47" s="33">
        <f>-A47*Electicity!$B$10</f>
        <v>-79.756868160216442</v>
      </c>
      <c r="E47" s="112">
        <f>-Cashflow!A47*'Project Details'!$C$14</f>
        <v>-2844.2405276008394</v>
      </c>
      <c r="F47" s="112">
        <f>IF(MOD(B47,12)=0,-A47*'Project Details'!$C$44,0)</f>
        <v>0</v>
      </c>
      <c r="G47" s="33">
        <f>-(Shipping!$H$24+Maintenance!$G$24)*Cashflow!A47</f>
        <v>-3540.697555763998</v>
      </c>
      <c r="H47" s="33">
        <f>-Maintenance!$G$25*A47</f>
        <v>-4155.4247847705519</v>
      </c>
      <c r="I47" s="33">
        <f>Revenue!$E$8/12</f>
        <v>5192.8767123287671</v>
      </c>
      <c r="J47" s="119">
        <f>IF(MOD(B47,12)=0,Revenue!$E$4*A47,0)</f>
        <v>0</v>
      </c>
      <c r="K47" s="112">
        <f>SUM(C47:J47)</f>
        <v>-5427.2430239668392</v>
      </c>
      <c r="L47" s="112">
        <f>SUM(C47:H47)/((1+'Project Details'!$F$6)^(B47/12))</f>
        <v>-7957.7507123058394</v>
      </c>
      <c r="M47" s="112">
        <f>SUM(I47:J47)/((1+'Project Details'!$F$6)^(B47/12))</f>
        <v>3891.0689693282784</v>
      </c>
      <c r="N47" s="12">
        <f>$K$2+NPV((1+'Project Details'!$F$6)^(1/12)-1,$K$3:K47)</f>
        <v>100031.06766737037</v>
      </c>
    </row>
    <row r="48" spans="1:14" x14ac:dyDescent="0.2">
      <c r="A48" s="115">
        <f>(1+'Project Details'!$F$5)^(B48/12)</f>
        <v>1.1409624216353096</v>
      </c>
      <c r="B48" s="3">
        <v>46</v>
      </c>
      <c r="C48" s="112">
        <f>-'CR Finance Options'!K49</f>
        <v>0</v>
      </c>
      <c r="D48" s="33">
        <f>-A48*Electicity!$B$10</f>
        <v>-79.985842050855155</v>
      </c>
      <c r="E48" s="112">
        <f>-Cashflow!A48*'Project Details'!$C$14</f>
        <v>-2852.4060540882738</v>
      </c>
      <c r="F48" s="112">
        <f>IF(MOD(B48,12)=0,-A48*'Project Details'!$C$44,0)</f>
        <v>0</v>
      </c>
      <c r="G48" s="33">
        <f>-(Shipping!$H$24+Maintenance!$G$24)*Cashflow!A48</f>
        <v>-3550.8625398414783</v>
      </c>
      <c r="H48" s="33">
        <f>-Maintenance!$G$25*A48</f>
        <v>-4167.3545884623682</v>
      </c>
      <c r="I48" s="33">
        <f>Revenue!$E$8/12</f>
        <v>5192.8767123287671</v>
      </c>
      <c r="J48" s="119">
        <f>IF(MOD(B48,12)=0,Revenue!$E$4*A48,0)</f>
        <v>0</v>
      </c>
      <c r="K48" s="112">
        <f>SUM(C48:J48)</f>
        <v>-5457.732312114209</v>
      </c>
      <c r="L48" s="112">
        <f>SUM(C48:H48)/((1+'Project Details'!$F$6)^(B48/12))</f>
        <v>-7929.5774684409744</v>
      </c>
      <c r="M48" s="112">
        <f>SUM(I48:J48)/((1+'Project Details'!$F$6)^(B48/12))</f>
        <v>3866.1937622508494</v>
      </c>
      <c r="N48" s="12">
        <f>$K$2+NPV((1+'Project Details'!$F$6)^(1/12)-1,$K$3:K48)</f>
        <v>95967.683961180242</v>
      </c>
    </row>
    <row r="49" spans="1:14" x14ac:dyDescent="0.2">
      <c r="A49" s="115">
        <f>(1+'Project Details'!$F$5)^(B49/12)</f>
        <v>1.144238009190097</v>
      </c>
      <c r="B49" s="3">
        <v>47</v>
      </c>
      <c r="C49" s="112">
        <f>-'CR Finance Options'!K50</f>
        <v>0</v>
      </c>
      <c r="D49" s="33">
        <f>-A49*Electicity!$B$10</f>
        <v>-80.215473302343227</v>
      </c>
      <c r="E49" s="112">
        <f>-Cashflow!A49*'Project Details'!$C$14</f>
        <v>-2860.5950229752425</v>
      </c>
      <c r="F49" s="112">
        <f>IF(MOD(B49,12)=0,-A49*'Project Details'!$C$44,0)</f>
        <v>0</v>
      </c>
      <c r="G49" s="33">
        <f>-(Shipping!$H$24+Maintenance!$G$24)*Cashflow!A49</f>
        <v>-3561.0567065587261</v>
      </c>
      <c r="H49" s="33">
        <f>-Maintenance!$G$25*A49</f>
        <v>-4179.3186414123229</v>
      </c>
      <c r="I49" s="33">
        <f>Revenue!$E$8/12</f>
        <v>5192.8767123287671</v>
      </c>
      <c r="J49" s="119">
        <f>IF(MOD(B49,12)=0,Revenue!$E$4*A49,0)</f>
        <v>0</v>
      </c>
      <c r="K49" s="112">
        <f>SUM(C49:J49)</f>
        <v>-5488.3091319198666</v>
      </c>
      <c r="L49" s="112">
        <f>SUM(C49:H49)/((1+'Project Details'!$F$6)^(B49/12))</f>
        <v>-7901.5039677948353</v>
      </c>
      <c r="M49" s="112">
        <f>SUM(I49:J49)/((1+'Project Details'!$F$6)^(B49/12))</f>
        <v>3841.4775798352857</v>
      </c>
      <c r="N49" s="12">
        <f>$K$2+NPV((1+'Project Details'!$F$6)^(1/12)-1,$K$3:K49)</f>
        <v>91907.657573220684</v>
      </c>
    </row>
    <row r="50" spans="1:14" x14ac:dyDescent="0.2">
      <c r="A50" s="115">
        <f>(1+'Project Details'!$F$5)^(B50/12)</f>
        <v>1.1475230006249997</v>
      </c>
      <c r="B50" s="3">
        <v>48</v>
      </c>
      <c r="C50" s="112">
        <f>-'CR Finance Options'!K51</f>
        <v>0</v>
      </c>
      <c r="D50" s="33">
        <f>-A50*Electicity!$B$10</f>
        <v>-80.445763801897058</v>
      </c>
      <c r="E50" s="112">
        <f>-Cashflow!A50*'Project Details'!$C$14</f>
        <v>-2868.8075015624991</v>
      </c>
      <c r="F50" s="112">
        <f>IF(MOD(B50,12)=0,-A50*'Project Details'!$C$44,0)</f>
        <v>-2868.8075015624991</v>
      </c>
      <c r="G50" s="33">
        <f>-(Shipping!$H$24+Maintenance!$G$24)*Cashflow!A50</f>
        <v>-3571.2801396961449</v>
      </c>
      <c r="H50" s="33">
        <f>-Maintenance!$G$25*A50</f>
        <v>-4191.3170419465669</v>
      </c>
      <c r="I50" s="33">
        <f>Revenue!$E$8/12</f>
        <v>5192.8767123287671</v>
      </c>
      <c r="J50" s="119">
        <f>IF(MOD(B50,12)=0,Revenue!$E$4*A50,0)</f>
        <v>178462.77705719994</v>
      </c>
      <c r="K50" s="112">
        <f>SUM(C50:J50)</f>
        <v>170074.9958209591</v>
      </c>
      <c r="L50" s="112">
        <f>SUM(C50:H50)/((1+'Project Details'!$F$6)^(B50/12))</f>
        <v>-9982.1890128161031</v>
      </c>
      <c r="M50" s="112">
        <f>SUM(I50:J50)/((1+'Project Details'!$F$6)^(B50/12))</f>
        <v>134992.38815545305</v>
      </c>
      <c r="N50" s="12">
        <f>$K$2+NPV((1+'Project Details'!$F$6)^(1/12)-1,$K$3:K50)</f>
        <v>216917.85671585784</v>
      </c>
    </row>
    <row r="51" spans="1:14" x14ac:dyDescent="0.2">
      <c r="A51" s="115">
        <f>(1+'Project Details'!$F$5)^(B51/12)</f>
        <v>1.1508174229376049</v>
      </c>
      <c r="B51" s="3">
        <v>49</v>
      </c>
      <c r="C51" s="112">
        <f>-'CR Finance Options'!K52</f>
        <v>0</v>
      </c>
      <c r="D51" s="33">
        <f>-A51*Electicity!$B$10</f>
        <v>-80.676715442151064</v>
      </c>
      <c r="E51" s="112">
        <f>-Cashflow!A51*'Project Details'!$C$14</f>
        <v>-2877.0435573440122</v>
      </c>
      <c r="F51" s="112">
        <f>IF(MOD(B51,12)=0,-A51*'Project Details'!$C$44,0)</f>
        <v>0</v>
      </c>
      <c r="G51" s="33">
        <f>-(Shipping!$H$24+Maintenance!$G$24)*Cashflow!A51</f>
        <v>-3581.5329232746626</v>
      </c>
      <c r="H51" s="33">
        <f>-Maintenance!$G$25*A51</f>
        <v>-4203.3498886735351</v>
      </c>
      <c r="I51" s="33">
        <f>Revenue!$E$8/12</f>
        <v>5192.8767123287671</v>
      </c>
      <c r="J51" s="119">
        <f>IF(MOD(B51,12)=0,Revenue!$E$4*A51,0)</f>
        <v>0</v>
      </c>
      <c r="K51" s="112">
        <f>SUM(C51:J51)</f>
        <v>-5549.7263724055938</v>
      </c>
      <c r="L51" s="112">
        <f>SUM(C51:H51)/((1+'Project Details'!$F$6)^(B51/12))</f>
        <v>-7845.6547849042554</v>
      </c>
      <c r="M51" s="112">
        <f>SUM(I51:J51)/((1+'Project Details'!$F$6)^(B51/12))</f>
        <v>3792.5182289751806</v>
      </c>
      <c r="N51" s="12">
        <f>$K$2+NPV((1+'Project Details'!$F$6)^(1/12)-1,$K$3:K51)</f>
        <v>212864.72015992875</v>
      </c>
    </row>
    <row r="52" spans="1:14" x14ac:dyDescent="0.2">
      <c r="A52" s="115">
        <f>(1+'Project Details'!$F$5)^(B52/12)</f>
        <v>1.1541213032030075</v>
      </c>
      <c r="B52" s="3">
        <v>50</v>
      </c>
      <c r="C52" s="112">
        <f>-'CR Finance Options'!K53</f>
        <v>0</v>
      </c>
      <c r="D52" s="33">
        <f>-A52*Electicity!$B$10</f>
        <v>-80.908330121173236</v>
      </c>
      <c r="E52" s="112">
        <f>-Cashflow!A52*'Project Details'!$C$14</f>
        <v>-2885.3032580075187</v>
      </c>
      <c r="F52" s="112">
        <f>IF(MOD(B52,12)=0,-A52*'Project Details'!$C$44,0)</f>
        <v>0</v>
      </c>
      <c r="G52" s="33">
        <f>-(Shipping!$H$24+Maintenance!$G$24)*Cashflow!A52</f>
        <v>-3591.8151415564225</v>
      </c>
      <c r="H52" s="33">
        <f>-Maintenance!$G$25*A52</f>
        <v>-4215.4172804847585</v>
      </c>
      <c r="I52" s="33">
        <f>Revenue!$E$8/12</f>
        <v>5192.8767123287671</v>
      </c>
      <c r="J52" s="119">
        <f>IF(MOD(B52,12)=0,Revenue!$E$4*A52,0)</f>
        <v>0</v>
      </c>
      <c r="K52" s="112">
        <f>SUM(C52:J52)</f>
        <v>-5580.5672978411058</v>
      </c>
      <c r="L52" s="112">
        <f>SUM(C52:H52)/((1+'Project Details'!$F$6)^(B52/12))</f>
        <v>-7817.8784001536187</v>
      </c>
      <c r="M52" s="112">
        <f>SUM(I52:J52)/((1+'Project Details'!$F$6)^(B52/12))</f>
        <v>3768.2730467298061</v>
      </c>
      <c r="N52" s="12">
        <f>$K$2+NPV((1+'Project Details'!$F$6)^(1/12)-1,$K$3:K52)</f>
        <v>208815.11480650492</v>
      </c>
    </row>
    <row r="53" spans="1:14" x14ac:dyDescent="0.2">
      <c r="A53" s="115">
        <f>(1+'Project Details'!$F$5)^(B53/12)</f>
        <v>1.157434668574032</v>
      </c>
      <c r="B53" s="3">
        <v>51</v>
      </c>
      <c r="C53" s="112">
        <f>-'CR Finance Options'!K54</f>
        <v>0</v>
      </c>
      <c r="D53" s="33">
        <f>-A53*Electicity!$B$10</f>
        <v>-81.140609742480734</v>
      </c>
      <c r="E53" s="112">
        <f>-Cashflow!A53*'Project Details'!$C$14</f>
        <v>-2893.58667143508</v>
      </c>
      <c r="F53" s="112">
        <f>IF(MOD(B53,12)=0,-A53*'Project Details'!$C$44,0)</f>
        <v>0</v>
      </c>
      <c r="G53" s="33">
        <f>-(Shipping!$H$24+Maintenance!$G$24)*Cashflow!A53</f>
        <v>-3602.1268790454765</v>
      </c>
      <c r="H53" s="33">
        <f>-Maintenance!$G$25*A53</f>
        <v>-4227.5193165556757</v>
      </c>
      <c r="I53" s="33">
        <f>Revenue!$E$8/12</f>
        <v>5192.8767123287671</v>
      </c>
      <c r="J53" s="119">
        <f>IF(MOD(B53,12)=0,Revenue!$E$4*A53,0)</f>
        <v>0</v>
      </c>
      <c r="K53" s="112">
        <f>SUM(C53:J53)</f>
        <v>-5611.4967644499466</v>
      </c>
      <c r="L53" s="112">
        <f>SUM(C53:H53)/((1+'Project Details'!$F$6)^(B53/12))</f>
        <v>-7790.2003536004931</v>
      </c>
      <c r="M53" s="112">
        <f>SUM(I53:J53)/((1+'Project Details'!$F$6)^(B53/12))</f>
        <v>3744.1828614618025</v>
      </c>
      <c r="N53" s="12">
        <f>$K$2+NPV((1+'Project Details'!$F$6)^(1/12)-1,$K$3:K53)</f>
        <v>204769.09731436623</v>
      </c>
    </row>
    <row r="54" spans="1:14" x14ac:dyDescent="0.2">
      <c r="A54" s="115">
        <f>(1+'Project Details'!$F$5)^(B54/12)</f>
        <v>1.1607575462814561</v>
      </c>
      <c r="B54" s="3">
        <v>52</v>
      </c>
      <c r="C54" s="112">
        <f>-'CR Finance Options'!K55</f>
        <v>0</v>
      </c>
      <c r="D54" s="33">
        <f>-A54*Electicity!$B$10</f>
        <v>-81.37355621505553</v>
      </c>
      <c r="E54" s="112">
        <f>-Cashflow!A54*'Project Details'!$C$14</f>
        <v>-2901.8938657036401</v>
      </c>
      <c r="F54" s="112">
        <f>IF(MOD(B54,12)=0,-A54*'Project Details'!$C$44,0)</f>
        <v>0</v>
      </c>
      <c r="G54" s="33">
        <f>-(Shipping!$H$24+Maintenance!$G$24)*Cashflow!A54</f>
        <v>-3612.4682204884798</v>
      </c>
      <c r="H54" s="33">
        <f>-Maintenance!$G$25*A54</f>
        <v>-4239.6560963464472</v>
      </c>
      <c r="I54" s="33">
        <f>Revenue!$E$8/12</f>
        <v>5192.8767123287671</v>
      </c>
      <c r="J54" s="119">
        <f>IF(MOD(B54,12)=0,Revenue!$E$4*A54,0)</f>
        <v>0</v>
      </c>
      <c r="K54" s="112">
        <f>SUM(C54:J54)</f>
        <v>-5642.515026424855</v>
      </c>
      <c r="L54" s="112">
        <f>SUM(C54:H54)/((1+'Project Details'!$F$6)^(B54/12))</f>
        <v>-7762.6202970929735</v>
      </c>
      <c r="M54" s="112">
        <f>SUM(I54:J54)/((1+'Project Details'!$F$6)^(B54/12))</f>
        <v>3720.2466822912997</v>
      </c>
      <c r="N54" s="12">
        <f>$K$2+NPV((1+'Project Details'!$F$6)^(1/12)-1,$K$3:K54)</f>
        <v>200726.72369956452</v>
      </c>
    </row>
    <row r="55" spans="1:14" x14ac:dyDescent="0.2">
      <c r="A55" s="115">
        <f>(1+'Project Details'!$F$5)^(B55/12)</f>
        <v>1.1640899636342341</v>
      </c>
      <c r="B55" s="3">
        <v>53</v>
      </c>
      <c r="C55" s="112">
        <f>-'CR Finance Options'!K56</f>
        <v>0</v>
      </c>
      <c r="D55" s="33">
        <f>-A55*Electicity!$B$10</f>
        <v>-81.607171453360039</v>
      </c>
      <c r="E55" s="112">
        <f>-Cashflow!A55*'Project Details'!$C$14</f>
        <v>-2910.2249090855853</v>
      </c>
      <c r="F55" s="112">
        <f>IF(MOD(B55,12)=0,-A55*'Project Details'!$C$44,0)</f>
        <v>0</v>
      </c>
      <c r="G55" s="33">
        <f>-(Shipping!$H$24+Maintenance!$G$24)*Cashflow!A55</f>
        <v>-3622.8392508753855</v>
      </c>
      <c r="H55" s="33">
        <f>-Maintenance!$G$25*A55</f>
        <v>-4251.8277196027739</v>
      </c>
      <c r="I55" s="33">
        <f>Revenue!$E$8/12</f>
        <v>5192.8767123287671</v>
      </c>
      <c r="J55" s="119">
        <f>IF(MOD(B55,12)=0,Revenue!$E$4*A55,0)</f>
        <v>0</v>
      </c>
      <c r="K55" s="112">
        <f>SUM(C55:J55)</f>
        <v>-5673.6223386883375</v>
      </c>
      <c r="L55" s="112">
        <f>SUM(C55:H55)/((1+'Project Details'!$F$6)^(B55/12))</f>
        <v>-7735.1378837117463</v>
      </c>
      <c r="M55" s="112">
        <f>SUM(I55:J55)/((1+'Project Details'!$F$6)^(B55/12))</f>
        <v>3696.4635246730236</v>
      </c>
      <c r="N55" s="12">
        <f>$K$2+NPV((1+'Project Details'!$F$6)^(1/12)-1,$K$3:K55)</f>
        <v>196688.04934052582</v>
      </c>
    </row>
    <row r="56" spans="1:14" x14ac:dyDescent="0.2">
      <c r="A56" s="115">
        <f>(1+'Project Details'!$F$5)^(B56/12)</f>
        <v>1.1674319480197215</v>
      </c>
      <c r="B56" s="3">
        <v>54</v>
      </c>
      <c r="C56" s="112">
        <f>-'CR Finance Options'!K57</f>
        <v>0</v>
      </c>
      <c r="D56" s="33">
        <f>-A56*Electicity!$B$10</f>
        <v>-81.841457377352953</v>
      </c>
      <c r="E56" s="112">
        <f>-Cashflow!A56*'Project Details'!$C$14</f>
        <v>-2918.5798700493037</v>
      </c>
      <c r="F56" s="112">
        <f>IF(MOD(B56,12)=0,-A56*'Project Details'!$C$44,0)</f>
        <v>0</v>
      </c>
      <c r="G56" s="33">
        <f>-(Shipping!$H$24+Maintenance!$G$24)*Cashflow!A56</f>
        <v>-3633.2400554401438</v>
      </c>
      <c r="H56" s="33">
        <f>-Maintenance!$G$25*A56</f>
        <v>-4264.0342863567157</v>
      </c>
      <c r="I56" s="33">
        <f>Revenue!$E$8/12</f>
        <v>5192.8767123287671</v>
      </c>
      <c r="J56" s="119">
        <f>IF(MOD(B56,12)=0,Revenue!$E$4*A56,0)</f>
        <v>0</v>
      </c>
      <c r="K56" s="112">
        <f>SUM(C56:J56)</f>
        <v>-5704.8189568947491</v>
      </c>
      <c r="L56" s="112">
        <f>SUM(C56:H56)/((1+'Project Details'!$F$6)^(B56/12))</f>
        <v>-7707.752767765709</v>
      </c>
      <c r="M56" s="112">
        <f>SUM(I56:J56)/((1+'Project Details'!$F$6)^(B56/12))</f>
        <v>3672.8324103557979</v>
      </c>
      <c r="N56" s="12">
        <f>$K$2+NPV((1+'Project Details'!$F$6)^(1/12)-1,$K$3:K56)</f>
        <v>192653.12898311589</v>
      </c>
    </row>
    <row r="57" spans="1:14" x14ac:dyDescent="0.2">
      <c r="A57" s="115">
        <f>(1+'Project Details'!$F$5)^(B57/12)</f>
        <v>1.1707835269039004</v>
      </c>
      <c r="B57" s="3">
        <v>55</v>
      </c>
      <c r="C57" s="112">
        <f>-'CR Finance Options'!K58</f>
        <v>0</v>
      </c>
      <c r="D57" s="33">
        <f>-A57*Electicity!$B$10</f>
        <v>-82.076415912504956</v>
      </c>
      <c r="E57" s="112">
        <f>-Cashflow!A57*'Project Details'!$C$14</f>
        <v>-2926.958817259751</v>
      </c>
      <c r="F57" s="112">
        <f>IF(MOD(B57,12)=0,-A57*'Project Details'!$C$44,0)</f>
        <v>0</v>
      </c>
      <c r="G57" s="33">
        <f>-(Shipping!$H$24+Maintenance!$G$24)*Cashflow!A57</f>
        <v>-3643.6707196614047</v>
      </c>
      <c r="H57" s="33">
        <f>-Maintenance!$G$25*A57</f>
        <v>-4276.2758969275155</v>
      </c>
      <c r="I57" s="33">
        <f>Revenue!$E$8/12</f>
        <v>5192.8767123287671</v>
      </c>
      <c r="J57" s="119">
        <f>IF(MOD(B57,12)=0,Revenue!$E$4*A57,0)</f>
        <v>0</v>
      </c>
      <c r="K57" s="112">
        <f>SUM(C57:J57)</f>
        <v>-5736.1051374324106</v>
      </c>
      <c r="L57" s="112">
        <f>SUM(C57:H57)/((1+'Project Details'!$F$6)^(B57/12))</f>
        <v>-7680.4646047876276</v>
      </c>
      <c r="M57" s="112">
        <f>SUM(I57:J57)/((1+'Project Details'!$F$6)^(B57/12))</f>
        <v>3649.3523673423056</v>
      </c>
      <c r="N57" s="12">
        <f>$K$2+NPV((1+'Project Details'!$F$6)^(1/12)-1,$K$3:K57)</f>
        <v>188622.01674567058</v>
      </c>
    </row>
    <row r="58" spans="1:14" x14ac:dyDescent="0.2">
      <c r="A58" s="115">
        <f>(1+'Project Details'!$F$5)^(B58/12)</f>
        <v>1.1741447278316048</v>
      </c>
      <c r="B58" s="3">
        <v>56</v>
      </c>
      <c r="C58" s="112">
        <f>-'CR Finance Options'!K59</f>
        <v>0</v>
      </c>
      <c r="D58" s="33">
        <f>-A58*Electicity!$B$10</f>
        <v>-82.312048989814571</v>
      </c>
      <c r="E58" s="112">
        <f>-Cashflow!A58*'Project Details'!$C$14</f>
        <v>-2935.3618195790123</v>
      </c>
      <c r="F58" s="112">
        <f>IF(MOD(B58,12)=0,-A58*'Project Details'!$C$44,0)</f>
        <v>0</v>
      </c>
      <c r="G58" s="33">
        <f>-(Shipping!$H$24+Maintenance!$G$24)*Cashflow!A58</f>
        <v>-3654.1313292632176</v>
      </c>
      <c r="H58" s="33">
        <f>-Maintenance!$G$25*A58</f>
        <v>-4288.5526519224231</v>
      </c>
      <c r="I58" s="33">
        <f>Revenue!$E$8/12</f>
        <v>5192.8767123287671</v>
      </c>
      <c r="J58" s="119">
        <f>IF(MOD(B58,12)=0,Revenue!$E$4*A58,0)</f>
        <v>0</v>
      </c>
      <c r="K58" s="112">
        <f>SUM(C58:J58)</f>
        <v>-5767.4811374257006</v>
      </c>
      <c r="L58" s="112">
        <f>SUM(C58:H58)/((1+'Project Details'!$F$6)^(B58/12))</f>
        <v>-7653.2730515298035</v>
      </c>
      <c r="M58" s="112">
        <f>SUM(I58:J58)/((1+'Project Details'!$F$6)^(B58/12))</f>
        <v>3626.0224298491075</v>
      </c>
      <c r="N58" s="12">
        <f>$K$2+NPV((1+'Project Details'!$F$6)^(1/12)-1,$K$3:K58)</f>
        <v>184594.76612398989</v>
      </c>
    </row>
    <row r="59" spans="1:14" x14ac:dyDescent="0.2">
      <c r="A59" s="115">
        <f>(1+'Project Details'!$F$5)^(B59/12)</f>
        <v>1.1775155784267473</v>
      </c>
      <c r="B59" s="3">
        <v>57</v>
      </c>
      <c r="C59" s="112">
        <f>-'CR Finance Options'!K60</f>
        <v>0</v>
      </c>
      <c r="D59" s="33">
        <f>-A59*Electicity!$B$10</f>
        <v>-82.548358545824001</v>
      </c>
      <c r="E59" s="112">
        <f>-Cashflow!A59*'Project Details'!$C$14</f>
        <v>-2943.788946066868</v>
      </c>
      <c r="F59" s="112">
        <f>IF(MOD(B59,12)=0,-A59*'Project Details'!$C$44,0)</f>
        <v>0</v>
      </c>
      <c r="G59" s="33">
        <f>-(Shipping!$H$24+Maintenance!$G$24)*Cashflow!A59</f>
        <v>-3664.6219702157373</v>
      </c>
      <c r="H59" s="33">
        <f>-Maintenance!$G$25*A59</f>
        <v>-4300.8646522375202</v>
      </c>
      <c r="I59" s="33">
        <f>Revenue!$E$8/12</f>
        <v>5192.8767123287671</v>
      </c>
      <c r="J59" s="119">
        <f>IF(MOD(B59,12)=0,Revenue!$E$4*A59,0)</f>
        <v>0</v>
      </c>
      <c r="K59" s="112">
        <f>SUM(C59:J59)</f>
        <v>-5798.9472147371835</v>
      </c>
      <c r="L59" s="112">
        <f>SUM(C59:H59)/((1+'Project Details'!$F$6)^(B59/12))</f>
        <v>-7626.177765959761</v>
      </c>
      <c r="M59" s="112">
        <f>SUM(I59:J59)/((1+'Project Details'!$F$6)^(B59/12))</f>
        <v>3602.8416382669243</v>
      </c>
      <c r="N59" s="12">
        <f>$K$2+NPV((1+'Project Details'!$F$6)^(1/12)-1,$K$3:K59)</f>
        <v>180571.42999629703</v>
      </c>
    </row>
    <row r="60" spans="1:14" x14ac:dyDescent="0.2">
      <c r="A60" s="115">
        <f>(1+'Project Details'!$F$5)^(B60/12)</f>
        <v>1.1808961063925454</v>
      </c>
      <c r="B60" s="3">
        <v>58</v>
      </c>
      <c r="C60" s="112">
        <f>-'CR Finance Options'!K61</f>
        <v>0</v>
      </c>
      <c r="D60" s="33">
        <f>-A60*Electicity!$B$10</f>
        <v>-82.785346522635095</v>
      </c>
      <c r="E60" s="112">
        <f>-Cashflow!A60*'Project Details'!$C$14</f>
        <v>-2952.2402659813633</v>
      </c>
      <c r="F60" s="112">
        <f>IF(MOD(B60,12)=0,-A60*'Project Details'!$C$44,0)</f>
        <v>0</v>
      </c>
      <c r="G60" s="33">
        <f>-(Shipping!$H$24+Maintenance!$G$24)*Cashflow!A60</f>
        <v>-3675.1427287359297</v>
      </c>
      <c r="H60" s="33">
        <f>-Maintenance!$G$25*A60</f>
        <v>-4313.2119990585506</v>
      </c>
      <c r="I60" s="33">
        <f>Revenue!$E$8/12</f>
        <v>5192.8767123287671</v>
      </c>
      <c r="J60" s="119">
        <f>IF(MOD(B60,12)=0,Revenue!$E$4*A60,0)</f>
        <v>0</v>
      </c>
      <c r="K60" s="112">
        <f>SUM(C60:J60)</f>
        <v>-5830.5036279697106</v>
      </c>
      <c r="L60" s="112">
        <f>SUM(C60:H60)/((1+'Project Details'!$F$6)^(B60/12))</f>
        <v>-7599.1784072559312</v>
      </c>
      <c r="M60" s="112">
        <f>SUM(I60:J60)/((1+'Project Details'!$F$6)^(B60/12))</f>
        <v>3579.8090391211563</v>
      </c>
      <c r="N60" s="12">
        <f>$K$2+NPV((1+'Project Details'!$F$6)^(1/12)-1,$K$3:K60)</f>
        <v>176552.06062816223</v>
      </c>
    </row>
    <row r="61" spans="1:14" x14ac:dyDescent="0.2">
      <c r="A61" s="115">
        <f>(1+'Project Details'!$F$5)^(B61/12)</f>
        <v>1.1842863395117502</v>
      </c>
      <c r="B61" s="3">
        <v>59</v>
      </c>
      <c r="C61" s="112">
        <f>-'CR Finance Options'!K62</f>
        <v>0</v>
      </c>
      <c r="D61" s="33">
        <f>-A61*Electicity!$B$10</f>
        <v>-83.023014867925227</v>
      </c>
      <c r="E61" s="112">
        <f>-Cashflow!A61*'Project Details'!$C$14</f>
        <v>-2960.7158487793754</v>
      </c>
      <c r="F61" s="112">
        <f>IF(MOD(B61,12)=0,-A61*'Project Details'!$C$44,0)</f>
        <v>0</v>
      </c>
      <c r="G61" s="33">
        <f>-(Shipping!$H$24+Maintenance!$G$24)*Cashflow!A61</f>
        <v>-3685.6936912882811</v>
      </c>
      <c r="H61" s="33">
        <f>-Maintenance!$G$25*A61</f>
        <v>-4325.5947938617537</v>
      </c>
      <c r="I61" s="33">
        <f>Revenue!$E$8/12</f>
        <v>5192.8767123287671</v>
      </c>
      <c r="J61" s="119">
        <f>IF(MOD(B61,12)=0,Revenue!$E$4*A61,0)</f>
        <v>0</v>
      </c>
      <c r="K61" s="112">
        <f>SUM(C61:J61)</f>
        <v>-5862.1506364685683</v>
      </c>
      <c r="L61" s="112">
        <f>SUM(C61:H61)/((1+'Project Details'!$F$6)^(B61/12))</f>
        <v>-7572.2746358033828</v>
      </c>
      <c r="M61" s="112">
        <f>SUM(I61:J61)/((1+'Project Details'!$F$6)^(B61/12))</f>
        <v>3556.9236850326715</v>
      </c>
      <c r="N61" s="12">
        <f>$K$2+NPV((1+'Project Details'!$F$6)^(1/12)-1,$K$3:K61)</f>
        <v>172536.70967739151</v>
      </c>
    </row>
    <row r="62" spans="1:14" x14ac:dyDescent="0.2">
      <c r="A62" s="115">
        <f>(1+'Project Details'!$F$5)^(B62/12)</f>
        <v>1.1876863056468745</v>
      </c>
      <c r="B62" s="3">
        <v>60</v>
      </c>
      <c r="C62" s="112">
        <f>-'CR Finance Options'!K63</f>
        <v>0</v>
      </c>
      <c r="D62" s="33">
        <f>-A62*Electicity!$B$10</f>
        <v>-83.261365534963446</v>
      </c>
      <c r="E62" s="112">
        <f>-Cashflow!A62*'Project Details'!$C$14</f>
        <v>-2969.2157641171862</v>
      </c>
      <c r="F62" s="112">
        <v>0</v>
      </c>
      <c r="G62" s="33">
        <f>-(Shipping!$H$24+Maintenance!$G$24)*Cashflow!A62</f>
        <v>-3696.2749445855097</v>
      </c>
      <c r="H62" s="33">
        <f>-Maintenance!$G$25*A62</f>
        <v>-4338.0131384146962</v>
      </c>
      <c r="I62" s="33">
        <f>Revenue!$E$8/12</f>
        <v>5192.8767123287671</v>
      </c>
      <c r="J62" s="119">
        <v>0</v>
      </c>
      <c r="K62" s="112">
        <f>SUM(C62:J62)</f>
        <v>-5893.8885003235882</v>
      </c>
      <c r="L62" s="112">
        <f>SUM(C62:H62)/((1+'Project Details'!$F$6)^(B62/12))</f>
        <v>-7545.4661131895364</v>
      </c>
      <c r="M62" s="112">
        <f>SUM(I62:J62)/((1+'Project Details'!$F$6)^(B62/12))</f>
        <v>3534.184634678837</v>
      </c>
      <c r="N62" s="12">
        <f>$K$2+NPV((1+'Project Details'!$F$6)^(1/12)-1,$K$3:K62)</f>
        <v>168525.42819888081</v>
      </c>
    </row>
  </sheetData>
  <mergeCells count="1">
    <mergeCell ref="Q4:R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8A865-E1FD-4B4B-89C0-66964BC64EB8}">
  <dimension ref="A1:D6"/>
  <sheetViews>
    <sheetView workbookViewId="0">
      <selection activeCell="G42" sqref="G42"/>
    </sheetView>
  </sheetViews>
  <sheetFormatPr baseColWidth="10" defaultRowHeight="15" x14ac:dyDescent="0.2"/>
  <cols>
    <col min="2" max="2" width="18.33203125" customWidth="1"/>
    <col min="3" max="3" width="17.33203125" customWidth="1"/>
    <col min="4" max="4" width="26.33203125" customWidth="1"/>
  </cols>
  <sheetData>
    <row r="1" spans="1:4" ht="20" customHeight="1" x14ac:dyDescent="0.2">
      <c r="A1" s="173" t="s">
        <v>38</v>
      </c>
      <c r="B1" s="173" t="s">
        <v>212</v>
      </c>
      <c r="C1" s="173" t="s">
        <v>213</v>
      </c>
      <c r="D1" s="173" t="s">
        <v>214</v>
      </c>
    </row>
    <row r="2" spans="1:4" x14ac:dyDescent="0.2">
      <c r="A2" s="1">
        <v>1</v>
      </c>
      <c r="B2" s="174">
        <f>SUM(Cashflow!M2:M13)</f>
        <v>210496.63225562812</v>
      </c>
      <c r="C2" s="174">
        <f>ABS(SUM(Cashflow!L2:L13))</f>
        <v>249372.7018597956</v>
      </c>
      <c r="D2" s="174">
        <f>B2-C2</f>
        <v>-38876.069604167482</v>
      </c>
    </row>
    <row r="3" spans="1:4" x14ac:dyDescent="0.2">
      <c r="A3" s="1">
        <f>1+A2</f>
        <v>2</v>
      </c>
      <c r="B3" s="174">
        <f>SUM(Cashflow!M14:M25)</f>
        <v>204752.50830366375</v>
      </c>
      <c r="C3" s="174">
        <f>ABS(SUM(Cashflow!L14:L25))</f>
        <v>179313.43397986534</v>
      </c>
      <c r="D3" s="174">
        <f>B3-C3+D2</f>
        <v>-13436.995280369068</v>
      </c>
    </row>
    <row r="4" spans="1:4" x14ac:dyDescent="0.2">
      <c r="A4" s="1">
        <f t="shared" ref="A4:A7" si="0">1+A3</f>
        <v>3</v>
      </c>
      <c r="B4" s="174">
        <f>SUM(Cashflow!M26:M37)</f>
        <v>194415.65583672572</v>
      </c>
      <c r="C4" s="174">
        <f>ABS(SUM(Cashflow!L26:L37))</f>
        <v>169520.57810714102</v>
      </c>
      <c r="D4" s="174">
        <f t="shared" ref="D4:D6" si="1">B4-C4+D3</f>
        <v>11458.082449215639</v>
      </c>
    </row>
    <row r="5" spans="1:4" x14ac:dyDescent="0.2">
      <c r="A5" s="1">
        <f t="shared" si="0"/>
        <v>4</v>
      </c>
      <c r="B5" s="174">
        <f>SUM(Cashflow!M38:M49)</f>
        <v>184643.24614511634</v>
      </c>
      <c r="C5" s="174">
        <f>ABS(SUM(Cashflow!L38:L49))</f>
        <v>104193.67102111128</v>
      </c>
      <c r="D5" s="174">
        <f t="shared" si="1"/>
        <v>91907.657573220698</v>
      </c>
    </row>
    <row r="6" spans="1:4" x14ac:dyDescent="0.2">
      <c r="A6" s="1">
        <f t="shared" si="0"/>
        <v>5</v>
      </c>
      <c r="B6" s="174">
        <f>SUM(Cashflow!M50:M62)</f>
        <v>178936.03870423092</v>
      </c>
      <c r="C6" s="174">
        <f>ABS(SUM(Cashflow!L50:L62))</f>
        <v>102318.26807857092</v>
      </c>
      <c r="D6" s="174">
        <f t="shared" si="1"/>
        <v>168525.42819888069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ABA95-71D1-0E46-8056-8FE7EC645263}">
  <dimension ref="A1:M18"/>
  <sheetViews>
    <sheetView topLeftCell="B17" zoomScale="75" workbookViewId="0">
      <selection activeCell="T32" sqref="T32"/>
    </sheetView>
  </sheetViews>
  <sheetFormatPr baseColWidth="10" defaultRowHeight="15" x14ac:dyDescent="0.2"/>
  <cols>
    <col min="1" max="1" width="14.6640625" customWidth="1"/>
    <col min="2" max="2" width="19.6640625" customWidth="1"/>
    <col min="3" max="3" width="16.6640625" customWidth="1"/>
    <col min="4" max="11" width="14.33203125" customWidth="1"/>
  </cols>
  <sheetData>
    <row r="1" spans="1:13" x14ac:dyDescent="0.2">
      <c r="B1" s="147"/>
      <c r="C1" s="147"/>
    </row>
    <row r="2" spans="1:13" ht="16" thickBot="1" x14ac:dyDescent="0.25">
      <c r="M2" s="120"/>
    </row>
    <row r="3" spans="1:13" x14ac:dyDescent="0.2">
      <c r="B3" s="126">
        <v>0.12</v>
      </c>
      <c r="C3" s="125" t="s">
        <v>182</v>
      </c>
      <c r="D3" s="171" t="s">
        <v>208</v>
      </c>
      <c r="E3" s="172"/>
      <c r="F3" s="172"/>
      <c r="G3" s="172"/>
      <c r="H3" s="172"/>
      <c r="I3" s="172"/>
      <c r="J3" s="172"/>
      <c r="K3" s="172"/>
    </row>
    <row r="4" spans="1:13" ht="16" thickBot="1" x14ac:dyDescent="0.25">
      <c r="A4" s="10"/>
      <c r="B4" s="127">
        <v>180</v>
      </c>
      <c r="C4" s="127">
        <f>Cashflow!R5</f>
        <v>168525.42819888081</v>
      </c>
      <c r="D4" s="123">
        <v>180</v>
      </c>
      <c r="E4" s="12">
        <f>D4+10</f>
        <v>190</v>
      </c>
      <c r="F4" s="12">
        <f t="shared" ref="F4:J4" si="0">E4+10</f>
        <v>200</v>
      </c>
      <c r="G4" s="12">
        <f t="shared" si="0"/>
        <v>210</v>
      </c>
      <c r="H4" s="12">
        <f t="shared" si="0"/>
        <v>220</v>
      </c>
      <c r="I4" s="12">
        <f t="shared" si="0"/>
        <v>230</v>
      </c>
      <c r="J4" s="12">
        <f t="shared" si="0"/>
        <v>240</v>
      </c>
      <c r="K4" s="12">
        <f>J4+10</f>
        <v>250</v>
      </c>
    </row>
    <row r="5" spans="1:13" x14ac:dyDescent="0.2">
      <c r="A5" s="10"/>
      <c r="B5" s="169" t="s">
        <v>196</v>
      </c>
      <c r="C5" s="124">
        <v>0.1</v>
      </c>
      <c r="D5" s="12">
        <f t="dataTable" ref="D5:K15" dt2D="1" dtr="1" r1="B4" r2="B3"/>
        <v>52913.317904291755</v>
      </c>
      <c r="E5" s="12">
        <v>86035.73543901401</v>
      </c>
      <c r="F5" s="12">
        <v>119158.15297373626</v>
      </c>
      <c r="G5" s="12">
        <v>152280.57050845848</v>
      </c>
      <c r="H5" s="12">
        <v>185402.98804318075</v>
      </c>
      <c r="I5" s="12">
        <v>218525.40557790297</v>
      </c>
      <c r="J5" s="12">
        <v>251647.82311262519</v>
      </c>
      <c r="K5" s="12">
        <v>284770.24064734747</v>
      </c>
    </row>
    <row r="6" spans="1:13" x14ac:dyDescent="0.2">
      <c r="A6" s="10"/>
      <c r="B6" s="170"/>
      <c r="C6" s="122">
        <f>C5+0.01</f>
        <v>0.11</v>
      </c>
      <c r="D6" s="12">
        <v>110719.37305158621</v>
      </c>
      <c r="E6" s="12">
        <v>147154.03233978077</v>
      </c>
      <c r="F6" s="12">
        <v>183588.6916279752</v>
      </c>
      <c r="G6" s="12">
        <v>220023.35091616964</v>
      </c>
      <c r="H6" s="12">
        <v>256458.01020436408</v>
      </c>
      <c r="I6" s="12">
        <v>292892.66949255858</v>
      </c>
      <c r="J6" s="12">
        <v>329327.32878075307</v>
      </c>
      <c r="K6" s="12">
        <v>365761.98806894751</v>
      </c>
    </row>
    <row r="7" spans="1:13" x14ac:dyDescent="0.2">
      <c r="A7" s="10"/>
      <c r="B7" s="170"/>
      <c r="C7" s="122">
        <f t="shared" ref="C7:C15" si="1">C6+0.01</f>
        <v>0.12</v>
      </c>
      <c r="D7" s="12">
        <v>168525.42819888081</v>
      </c>
      <c r="E7" s="12">
        <v>208272.32924054743</v>
      </c>
      <c r="F7" s="12">
        <v>248019.23028221415</v>
      </c>
      <c r="G7" s="12">
        <v>287766.13132388081</v>
      </c>
      <c r="H7" s="12">
        <v>327513.03236554743</v>
      </c>
      <c r="I7" s="12">
        <v>367259.93340721406</v>
      </c>
      <c r="J7" s="12">
        <v>407006.83444888087</v>
      </c>
      <c r="K7" s="12">
        <v>446753.73549054749</v>
      </c>
    </row>
    <row r="8" spans="1:13" x14ac:dyDescent="0.2">
      <c r="A8" s="10"/>
      <c r="B8" s="170"/>
      <c r="C8" s="122">
        <f t="shared" si="1"/>
        <v>0.13</v>
      </c>
      <c r="D8" s="12">
        <v>226331.48334617523</v>
      </c>
      <c r="E8" s="12">
        <v>269390.62614131428</v>
      </c>
      <c r="F8" s="12">
        <v>312449.76893645315</v>
      </c>
      <c r="G8" s="12">
        <v>355508.91173159186</v>
      </c>
      <c r="H8" s="12">
        <v>398568.05452673091</v>
      </c>
      <c r="I8" s="12">
        <v>441627.19732186978</v>
      </c>
      <c r="J8" s="12">
        <v>484686.34011700866</v>
      </c>
      <c r="K8" s="12">
        <v>527745.48291214765</v>
      </c>
    </row>
    <row r="9" spans="1:13" x14ac:dyDescent="0.2">
      <c r="A9" s="10"/>
      <c r="B9" s="170"/>
      <c r="C9" s="122">
        <f t="shared" si="1"/>
        <v>0.14000000000000001</v>
      </c>
      <c r="D9" s="12">
        <v>284137.53849346994</v>
      </c>
      <c r="E9" s="12">
        <v>330508.92304208106</v>
      </c>
      <c r="F9" s="12">
        <v>376880.30759069219</v>
      </c>
      <c r="G9" s="12">
        <v>423251.69213930337</v>
      </c>
      <c r="H9" s="12">
        <v>469623.07668791444</v>
      </c>
      <c r="I9" s="12">
        <v>515994.46123652568</v>
      </c>
      <c r="J9" s="12">
        <v>562365.8457851368</v>
      </c>
      <c r="K9" s="12">
        <v>608737.23033374781</v>
      </c>
    </row>
    <row r="10" spans="1:13" x14ac:dyDescent="0.2">
      <c r="B10" s="170"/>
      <c r="C10" s="122">
        <f t="shared" si="1"/>
        <v>0.15000000000000002</v>
      </c>
      <c r="D10" s="12">
        <v>341943.59364076459</v>
      </c>
      <c r="E10" s="12">
        <v>391627.21994284791</v>
      </c>
      <c r="F10" s="12">
        <v>441310.84624493145</v>
      </c>
      <c r="G10" s="12">
        <v>490994.47254701483</v>
      </c>
      <c r="H10" s="12">
        <v>540678.09884909808</v>
      </c>
      <c r="I10" s="12">
        <v>590361.72515118145</v>
      </c>
      <c r="J10" s="12">
        <v>640045.35145326494</v>
      </c>
      <c r="K10" s="12">
        <v>689728.9777553482</v>
      </c>
    </row>
    <row r="11" spans="1:13" x14ac:dyDescent="0.2">
      <c r="B11" s="170"/>
      <c r="C11" s="122">
        <f t="shared" si="1"/>
        <v>0.16000000000000003</v>
      </c>
      <c r="D11" s="12">
        <v>399749.64878805896</v>
      </c>
      <c r="E11" s="12">
        <v>452745.51684361458</v>
      </c>
      <c r="F11" s="12">
        <v>505741.38489917025</v>
      </c>
      <c r="G11" s="12">
        <v>558737.25295472587</v>
      </c>
      <c r="H11" s="12">
        <v>611733.12101028138</v>
      </c>
      <c r="I11" s="12">
        <v>664728.989065837</v>
      </c>
      <c r="J11" s="12">
        <v>717724.85712139274</v>
      </c>
      <c r="K11" s="12">
        <v>770720.72517694836</v>
      </c>
    </row>
    <row r="12" spans="1:13" x14ac:dyDescent="0.2">
      <c r="B12" s="170"/>
      <c r="C12" s="122">
        <f t="shared" si="1"/>
        <v>0.17000000000000004</v>
      </c>
      <c r="D12" s="12">
        <v>457555.70393535355</v>
      </c>
      <c r="E12" s="12">
        <v>513863.81374438142</v>
      </c>
      <c r="F12" s="12">
        <v>570171.92355340917</v>
      </c>
      <c r="G12" s="12">
        <v>626480.03336243704</v>
      </c>
      <c r="H12" s="12">
        <v>682788.14317146502</v>
      </c>
      <c r="I12" s="12">
        <v>739096.25298049278</v>
      </c>
      <c r="J12" s="12">
        <v>795404.36278952064</v>
      </c>
      <c r="K12" s="12">
        <v>851712.47259854851</v>
      </c>
    </row>
    <row r="13" spans="1:13" x14ac:dyDescent="0.2">
      <c r="B13" s="170"/>
      <c r="C13" s="122">
        <f t="shared" si="1"/>
        <v>0.18000000000000005</v>
      </c>
      <c r="D13" s="12">
        <v>515361.7590826482</v>
      </c>
      <c r="E13" s="12">
        <v>574982.1106451482</v>
      </c>
      <c r="F13" s="12">
        <v>634602.4622076482</v>
      </c>
      <c r="G13" s="12">
        <v>694222.81377014844</v>
      </c>
      <c r="H13" s="12">
        <v>753843.16533264855</v>
      </c>
      <c r="I13" s="12">
        <v>813463.51689514844</v>
      </c>
      <c r="J13" s="12">
        <v>873083.86845764844</v>
      </c>
      <c r="K13" s="12">
        <v>932704.22002014832</v>
      </c>
    </row>
    <row r="14" spans="1:13" x14ac:dyDescent="0.2">
      <c r="B14" s="170"/>
      <c r="C14" s="122">
        <f t="shared" si="1"/>
        <v>0.19000000000000006</v>
      </c>
      <c r="D14" s="12">
        <v>573167.81422994286</v>
      </c>
      <c r="E14" s="12">
        <v>636100.40754591511</v>
      </c>
      <c r="F14" s="12">
        <v>699033.00086188747</v>
      </c>
      <c r="G14" s="12">
        <v>761965.59417785995</v>
      </c>
      <c r="H14" s="12">
        <v>824898.18749383208</v>
      </c>
      <c r="I14" s="12">
        <v>887830.78080980422</v>
      </c>
      <c r="J14" s="12">
        <v>950763.3741257767</v>
      </c>
      <c r="K14" s="12">
        <v>1013695.9674417488</v>
      </c>
    </row>
    <row r="15" spans="1:13" x14ac:dyDescent="0.2">
      <c r="B15" s="170"/>
      <c r="C15" s="122">
        <f t="shared" si="1"/>
        <v>0.20000000000000007</v>
      </c>
      <c r="D15" s="12">
        <v>630973.86937723751</v>
      </c>
      <c r="E15" s="12">
        <v>697218.70444668189</v>
      </c>
      <c r="F15" s="12">
        <v>763463.53951612674</v>
      </c>
      <c r="G15" s="12">
        <v>829708.374585571</v>
      </c>
      <c r="H15" s="12">
        <v>895953.20965501538</v>
      </c>
      <c r="I15" s="12">
        <v>962198.04472446011</v>
      </c>
      <c r="J15" s="12">
        <v>1028442.8797939043</v>
      </c>
      <c r="K15" s="12">
        <v>1094687.7148633488</v>
      </c>
    </row>
    <row r="17" spans="1:1" x14ac:dyDescent="0.2">
      <c r="A17" t="s">
        <v>197</v>
      </c>
    </row>
    <row r="18" spans="1:1" x14ac:dyDescent="0.2">
      <c r="A18" t="s">
        <v>198</v>
      </c>
    </row>
  </sheetData>
  <mergeCells count="3">
    <mergeCell ref="B1:C1"/>
    <mergeCell ref="B5:B15"/>
    <mergeCell ref="D3:K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4398b65-27a0-431f-bb10-646010ce656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B588CF2F739442BBACEEFB9E32E115" ma:contentTypeVersion="14" ma:contentTypeDescription="Create a new document." ma:contentTypeScope="" ma:versionID="bd739693acba30017d398d9f3cc91eb1">
  <xsd:schema xmlns:xsd="http://www.w3.org/2001/XMLSchema" xmlns:xs="http://www.w3.org/2001/XMLSchema" xmlns:p="http://schemas.microsoft.com/office/2006/metadata/properties" xmlns:ns3="d4398b65-27a0-431f-bb10-646010ce6561" xmlns:ns4="1926e0f5-0cc0-4557-b4d7-f87d799596a8" targetNamespace="http://schemas.microsoft.com/office/2006/metadata/properties" ma:root="true" ma:fieldsID="d9455580dc58f441b43481b9dfd0cb15" ns3:_="" ns4:_="">
    <xsd:import namespace="d4398b65-27a0-431f-bb10-646010ce6561"/>
    <xsd:import namespace="1926e0f5-0cc0-4557-b4d7-f87d799596a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398b65-27a0-431f-bb10-646010ce65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26e0f5-0cc0-4557-b4d7-f87d799596a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4AAADC4-082E-4732-B6C6-8AD62649A126}">
  <ds:schemaRefs>
    <ds:schemaRef ds:uri="http://schemas.microsoft.com/office/2006/metadata/properties"/>
    <ds:schemaRef ds:uri="http://schemas.openxmlformats.org/package/2006/metadata/core-properties"/>
    <ds:schemaRef ds:uri="http://purl.org/dc/dcmitype/"/>
    <ds:schemaRef ds:uri="1926e0f5-0cc0-4557-b4d7-f87d799596a8"/>
    <ds:schemaRef ds:uri="http://schemas.microsoft.com/office/2006/documentManagement/types"/>
    <ds:schemaRef ds:uri="http://purl.org/dc/terms/"/>
    <ds:schemaRef ds:uri="d4398b65-27a0-431f-bb10-646010ce6561"/>
    <ds:schemaRef ds:uri="http://schemas.microsoft.com/office/infopath/2007/PartnerControls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E1AF55F-D374-449E-AE21-16FF33F481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E3D0C8-3787-4A9D-80DE-BA4853E488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398b65-27a0-431f-bb10-646010ce6561"/>
    <ds:schemaRef ds:uri="1926e0f5-0cc0-4557-b4d7-f87d799596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Project Details</vt:lpstr>
      <vt:lpstr>Maintenance</vt:lpstr>
      <vt:lpstr>Usability</vt:lpstr>
      <vt:lpstr>Electicity</vt:lpstr>
      <vt:lpstr>Shipping</vt:lpstr>
      <vt:lpstr>CR Finance Options</vt:lpstr>
      <vt:lpstr>Revenue</vt:lpstr>
      <vt:lpstr>Cashflow</vt:lpstr>
      <vt:lpstr>Annual Cashflow</vt:lpstr>
      <vt:lpstr>PROJECT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Harman Singh</dc:creator>
  <cp:lastModifiedBy>Evan Warren</cp:lastModifiedBy>
  <dcterms:created xsi:type="dcterms:W3CDTF">2026-04-29T23:42:31Z</dcterms:created>
  <dcterms:modified xsi:type="dcterms:W3CDTF">2026-10-16T08:23:48Z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0x010100A4B588CF2F739442BBACEEFB9E32E115</vt:lpwstr>
  </property>
</Properties>
</file>