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dawgsmac/LocalFiles/B_Path/CSUEB/Course Work/Spring2026/INDE 460 Systems/Project/"/>
    </mc:Choice>
  </mc:AlternateContent>
  <xr:revisionPtr revIDLastSave="0" documentId="13_ncr:1_{F1EF837F-6574-EC41-9D22-B6732B91370F}" xr6:coauthVersionLast="47" xr6:coauthVersionMax="47" xr10:uidLastSave="{00000000-0000-0000-0000-000000000000}"/>
  <bookViews>
    <workbookView xWindow="31600" yWindow="1300" windowWidth="30240" windowHeight="17400" activeTab="7" xr2:uid="{4E1F7FCE-C5AE-4A76-87F8-0DC26954148D}"/>
  </bookViews>
  <sheets>
    <sheet name="Project Details" sheetId="1" r:id="rId1"/>
    <sheet name="Maintenance" sheetId="2" r:id="rId2"/>
    <sheet name="Usability" sheetId="4" r:id="rId3"/>
    <sheet name="Student Fee" sheetId="9" r:id="rId4"/>
    <sheet name="Electicity" sheetId="8" r:id="rId5"/>
    <sheet name="Shipping" sheetId="5" r:id="rId6"/>
    <sheet name="CR Finance Options" sheetId="7" r:id="rId7"/>
    <sheet name="Cashflow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9" l="1"/>
  <c r="C4" i="9"/>
  <c r="J62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3" i="3"/>
  <c r="C2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3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3" i="3"/>
  <c r="H3" i="3"/>
  <c r="I3" i="3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13" i="3"/>
  <c r="J13" i="3" s="1"/>
  <c r="I15" i="3"/>
  <c r="J15" i="3" s="1"/>
  <c r="I16" i="3"/>
  <c r="J16" i="3" s="1"/>
  <c r="I17" i="3"/>
  <c r="J17" i="3" s="1"/>
  <c r="I18" i="3"/>
  <c r="J18" i="3" s="1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E5" i="9"/>
  <c r="I50" i="3" s="1"/>
  <c r="J50" i="3" s="1"/>
  <c r="E6" i="9"/>
  <c r="E4" i="9"/>
  <c r="C6" i="9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2" i="3"/>
  <c r="B3" i="8"/>
  <c r="B20" i="4"/>
  <c r="B5" i="4"/>
  <c r="B17" i="4"/>
  <c r="B13" i="4"/>
  <c r="B14" i="4" s="1"/>
  <c r="B15" i="4" s="1"/>
  <c r="C7" i="7"/>
  <c r="C6" i="7"/>
  <c r="C5" i="7"/>
  <c r="C4" i="7"/>
  <c r="C3" i="7"/>
  <c r="C2" i="7"/>
  <c r="C12" i="5"/>
  <c r="E12" i="5" s="1"/>
  <c r="C10" i="5"/>
  <c r="E10" i="5" s="1"/>
  <c r="C11" i="5"/>
  <c r="E11" i="5" s="1"/>
  <c r="C3" i="5"/>
  <c r="E3" i="5" s="1"/>
  <c r="E13" i="5" s="1"/>
  <c r="W3" i="2"/>
  <c r="V5" i="2"/>
  <c r="V4" i="2"/>
  <c r="W4" i="2"/>
  <c r="W5" i="2"/>
  <c r="G16" i="2"/>
  <c r="H16" i="2" s="1"/>
  <c r="G17" i="2"/>
  <c r="H17" i="2" s="1"/>
  <c r="G18" i="2"/>
  <c r="H18" i="2" s="1"/>
  <c r="G19" i="2"/>
  <c r="H19" i="2" s="1"/>
  <c r="G15" i="2"/>
  <c r="F20" i="2"/>
  <c r="G5" i="2"/>
  <c r="H5" i="2" s="1"/>
  <c r="G6" i="2"/>
  <c r="H6" i="2" s="1"/>
  <c r="G7" i="2"/>
  <c r="H7" i="2" s="1"/>
  <c r="G8" i="2"/>
  <c r="H8" i="2" s="1"/>
  <c r="G9" i="2"/>
  <c r="H9" i="2" s="1"/>
  <c r="G4" i="2"/>
  <c r="H4" i="2" s="1"/>
  <c r="F10" i="2"/>
  <c r="C25" i="2"/>
  <c r="C8" i="1"/>
  <c r="I26" i="3" l="1"/>
  <c r="J26" i="3" s="1"/>
  <c r="I14" i="3"/>
  <c r="J14" i="3" s="1"/>
  <c r="J8" i="9"/>
  <c r="J9" i="9"/>
  <c r="J7" i="9"/>
  <c r="I38" i="3"/>
  <c r="J38" i="3" s="1"/>
  <c r="J4" i="9"/>
  <c r="I2" i="3"/>
  <c r="J2" i="3" s="1"/>
  <c r="J5" i="9"/>
  <c r="J6" i="9"/>
  <c r="C18" i="5"/>
  <c r="C22" i="5"/>
  <c r="E22" i="5" s="1"/>
  <c r="H22" i="5" s="1"/>
  <c r="C21" i="5"/>
  <c r="E21" i="5" s="1"/>
  <c r="H21" i="5" s="1"/>
  <c r="C20" i="5"/>
  <c r="E20" i="5" s="1"/>
  <c r="H20" i="5" s="1"/>
  <c r="C19" i="5"/>
  <c r="E19" i="5" s="1"/>
  <c r="H19" i="5" s="1"/>
  <c r="B19" i="4"/>
  <c r="B21" i="4" s="1"/>
  <c r="H3" i="4"/>
  <c r="H2" i="4"/>
  <c r="H3" i="5"/>
  <c r="F14" i="1"/>
  <c r="G14" i="1" s="1"/>
  <c r="F15" i="1"/>
  <c r="G15" i="1" s="1"/>
  <c r="F13" i="1"/>
  <c r="G13" i="1" s="1"/>
  <c r="F11" i="1"/>
  <c r="G11" i="1" s="1"/>
  <c r="F16" i="1"/>
  <c r="G16" i="1" s="1"/>
  <c r="C9" i="5" s="1"/>
  <c r="E9" i="5" s="1"/>
  <c r="F12" i="1"/>
  <c r="G12" i="1" s="1"/>
  <c r="G20" i="2"/>
  <c r="C9" i="2" s="1"/>
  <c r="C7" i="2" s="1"/>
  <c r="H15" i="2"/>
  <c r="H20" i="2" s="1"/>
  <c r="G10" i="2"/>
  <c r="C8" i="2" s="1"/>
  <c r="H10" i="2"/>
  <c r="G24" i="2" l="1"/>
  <c r="C23" i="5"/>
  <c r="E23" i="5" s="1"/>
  <c r="H23" i="5" s="1"/>
  <c r="E18" i="5"/>
  <c r="H4" i="4"/>
  <c r="B2" i="8"/>
  <c r="B4" i="8" s="1"/>
  <c r="B6" i="8" s="1"/>
  <c r="B10" i="8" s="1"/>
  <c r="C10" i="2"/>
  <c r="C5" i="5"/>
  <c r="E5" i="5" s="1"/>
  <c r="H5" i="5" s="1"/>
  <c r="C4" i="5"/>
  <c r="E4" i="5" s="1"/>
  <c r="H4" i="5" s="1"/>
  <c r="H9" i="5"/>
  <c r="C6" i="5"/>
  <c r="E6" i="5" s="1"/>
  <c r="H6" i="5" s="1"/>
  <c r="H11" i="5"/>
  <c r="C8" i="5"/>
  <c r="E8" i="5" s="1"/>
  <c r="H8" i="5" s="1"/>
  <c r="H10" i="5"/>
  <c r="C7" i="5"/>
  <c r="E7" i="5" s="1"/>
  <c r="H7" i="5" s="1"/>
  <c r="I13" i="1"/>
  <c r="I16" i="1"/>
  <c r="H12" i="5"/>
  <c r="I11" i="1"/>
  <c r="I14" i="1"/>
  <c r="I15" i="1"/>
  <c r="I12" i="1"/>
  <c r="C24" i="5" l="1"/>
  <c r="H18" i="5"/>
  <c r="H24" i="5" s="1"/>
  <c r="E24" i="5"/>
  <c r="H13" i="5"/>
  <c r="C9" i="7" s="1"/>
  <c r="C13" i="5"/>
  <c r="I17" i="1"/>
  <c r="C8" i="7" s="1"/>
  <c r="C6" i="2"/>
  <c r="C11" i="2"/>
  <c r="G25" i="2" s="1"/>
  <c r="C10" i="7" l="1"/>
  <c r="G26" i="2"/>
  <c r="D18" i="7"/>
  <c r="H63" i="7" s="1"/>
  <c r="D17" i="7"/>
  <c r="D16" i="7"/>
  <c r="H3" i="7"/>
  <c r="K3" i="7"/>
  <c r="N3" i="7"/>
  <c r="K37" i="7" l="1"/>
  <c r="K34" i="7"/>
  <c r="K36" i="7"/>
  <c r="K35" i="7"/>
  <c r="K38" i="7"/>
  <c r="K39" i="7"/>
  <c r="N4" i="7"/>
  <c r="N14" i="7"/>
  <c r="N15" i="7"/>
  <c r="N11" i="7"/>
  <c r="N5" i="7"/>
  <c r="N10" i="7"/>
  <c r="N8" i="7"/>
  <c r="N12" i="7"/>
  <c r="N6" i="7"/>
  <c r="N13" i="7"/>
  <c r="N7" i="7"/>
  <c r="N9" i="7"/>
  <c r="H8" i="7"/>
  <c r="H19" i="7"/>
  <c r="H24" i="7"/>
  <c r="H29" i="7"/>
  <c r="H34" i="7"/>
  <c r="H44" i="7"/>
  <c r="H54" i="7"/>
  <c r="H37" i="7"/>
  <c r="H47" i="7"/>
  <c r="H57" i="7"/>
  <c r="H21" i="7"/>
  <c r="H13" i="7"/>
  <c r="H49" i="7"/>
  <c r="H17" i="7"/>
  <c r="H32" i="7"/>
  <c r="H50" i="7"/>
  <c r="H7" i="7"/>
  <c r="H51" i="7"/>
  <c r="H23" i="7"/>
  <c r="H33" i="7"/>
  <c r="H62" i="7"/>
  <c r="H5" i="7"/>
  <c r="H15" i="7"/>
  <c r="H35" i="7"/>
  <c r="H45" i="7"/>
  <c r="H55" i="7"/>
  <c r="H31" i="7"/>
  <c r="H58" i="7"/>
  <c r="H59" i="7"/>
  <c r="H10" i="7"/>
  <c r="H22" i="7"/>
  <c r="H60" i="7"/>
  <c r="H42" i="7"/>
  <c r="H12" i="7"/>
  <c r="H20" i="7"/>
  <c r="H25" i="7"/>
  <c r="H30" i="7"/>
  <c r="H36" i="7"/>
  <c r="H46" i="7"/>
  <c r="H56" i="7"/>
  <c r="H9" i="7"/>
  <c r="H6" i="7"/>
  <c r="H16" i="7"/>
  <c r="H26" i="7"/>
  <c r="H38" i="7"/>
  <c r="H48" i="7"/>
  <c r="H27" i="7"/>
  <c r="H11" i="7"/>
  <c r="H43" i="7"/>
  <c r="H53" i="7"/>
  <c r="H39" i="7"/>
  <c r="H40" i="7"/>
  <c r="H41" i="7"/>
  <c r="H61" i="7"/>
  <c r="H4" i="7"/>
  <c r="H14" i="7"/>
  <c r="H18" i="7"/>
  <c r="H28" i="7"/>
  <c r="H52" i="7"/>
  <c r="K11" i="7"/>
  <c r="K12" i="7"/>
  <c r="K20" i="7"/>
  <c r="K25" i="7"/>
  <c r="K30" i="7"/>
  <c r="K16" i="7"/>
  <c r="K31" i="7"/>
  <c r="K27" i="7"/>
  <c r="K7" i="7"/>
  <c r="K8" i="7"/>
  <c r="K19" i="7"/>
  <c r="K24" i="7"/>
  <c r="K29" i="7"/>
  <c r="K6" i="7"/>
  <c r="K21" i="7"/>
  <c r="K26" i="7"/>
  <c r="K5" i="7"/>
  <c r="K15" i="7"/>
  <c r="K9" i="7"/>
  <c r="K4" i="7"/>
  <c r="K14" i="7"/>
  <c r="K18" i="7"/>
  <c r="K23" i="7"/>
  <c r="K28" i="7"/>
  <c r="K33" i="7"/>
  <c r="K13" i="7"/>
  <c r="K10" i="7"/>
  <c r="K17" i="7"/>
  <c r="K22" i="7"/>
  <c r="K32" i="7"/>
  <c r="N64" i="7" l="1"/>
  <c r="E16" i="7" s="1"/>
  <c r="H64" i="7"/>
  <c r="E18" i="7" s="1"/>
  <c r="K64" i="7"/>
  <c r="E17" i="7" s="1"/>
  <c r="E22" i="7" l="1"/>
  <c r="M5" i="3"/>
  <c r="M6" i="3" s="1"/>
</calcChain>
</file>

<file path=xl/sharedStrings.xml><?xml version="1.0" encoding="utf-8"?>
<sst xmlns="http://schemas.openxmlformats.org/spreadsheetml/2006/main" count="285" uniqueCount="209">
  <si>
    <t>Cost</t>
  </si>
  <si>
    <t>Assumption</t>
  </si>
  <si>
    <t>Mass Order Discount</t>
  </si>
  <si>
    <t>Units</t>
  </si>
  <si>
    <t>Total Cost</t>
  </si>
  <si>
    <t>Battery (Wh)</t>
  </si>
  <si>
    <t>Range (mi)</t>
  </si>
  <si>
    <t>Charge Time (hr)</t>
  </si>
  <si>
    <t>Battery (KWh)</t>
  </si>
  <si>
    <t>$</t>
  </si>
  <si>
    <t>Capital Costs</t>
  </si>
  <si>
    <t>Month</t>
  </si>
  <si>
    <t>Total</t>
  </si>
  <si>
    <t>5 Year Finance (25% Down)</t>
  </si>
  <si>
    <t>1 Year Finance (25% Down)</t>
  </si>
  <si>
    <t>Employees</t>
  </si>
  <si>
    <t>Labor Cost</t>
  </si>
  <si>
    <t>Salary/Each</t>
  </si>
  <si>
    <t>Tires</t>
  </si>
  <si>
    <t>Batteries</t>
  </si>
  <si>
    <t>Frame</t>
  </si>
  <si>
    <t>Brakes</t>
  </si>
  <si>
    <t>Parts Costs</t>
  </si>
  <si>
    <t>Lights</t>
  </si>
  <si>
    <t>Electric</t>
  </si>
  <si>
    <t>Outsource $/Year</t>
  </si>
  <si>
    <t>Hourly</t>
  </si>
  <si>
    <t>Total Time (hr)</t>
  </si>
  <si>
    <t>Reliability</t>
  </si>
  <si>
    <t>Overall</t>
  </si>
  <si>
    <t>Type</t>
  </si>
  <si>
    <t># Repairs</t>
  </si>
  <si>
    <t>MTTR Corrective(hr)</t>
  </si>
  <si>
    <t>MTTR Preventative(hr)</t>
  </si>
  <si>
    <t>MTBF Corrective (hr)</t>
  </si>
  <si>
    <t>JOBS Corrective</t>
  </si>
  <si>
    <t>MTBR Preventative (hr)</t>
  </si>
  <si>
    <t>TBR = Time between replacement</t>
  </si>
  <si>
    <r>
      <rPr>
        <sz val="11"/>
        <color theme="1"/>
        <rFont val="Aptos Narrow"/>
        <family val="2"/>
      </rPr>
      <t xml:space="preserve">∑ </t>
    </r>
    <r>
      <rPr>
        <sz val="11"/>
        <color theme="1"/>
        <rFont val="Aptos Narrow"/>
        <family val="2"/>
        <scheme val="minor"/>
      </rPr>
      <t>Replacements</t>
    </r>
  </si>
  <si>
    <t>TBR (years)</t>
  </si>
  <si>
    <t>JOBS Prevantative</t>
  </si>
  <si>
    <t>Year</t>
  </si>
  <si>
    <t>Universal Inflation Rate</t>
  </si>
  <si>
    <t>scooter_id</t>
  </si>
  <si>
    <t>in_service_date</t>
  </si>
  <si>
    <t>odometer_miles</t>
  </si>
  <si>
    <t>failure_datetime</t>
  </si>
  <si>
    <t>failure_mode</t>
  </si>
  <si>
    <t>severity</t>
  </si>
  <si>
    <t>repair_start</t>
  </si>
  <si>
    <t>repair_end</t>
  </si>
  <si>
    <t>repair_action</t>
  </si>
  <si>
    <t>parts_cost</t>
  </si>
  <si>
    <t>labor_hours</t>
  </si>
  <si>
    <t>return_to_service</t>
  </si>
  <si>
    <t>Replace Tires</t>
  </si>
  <si>
    <t>Example Reliability Data Log</t>
  </si>
  <si>
    <t>Replace Brake</t>
  </si>
  <si>
    <t>Replace Battery</t>
  </si>
  <si>
    <t>Adoption Rate</t>
  </si>
  <si>
    <t>Electrcity</t>
  </si>
  <si>
    <t>Monthly  Cost</t>
  </si>
  <si>
    <t>Years</t>
  </si>
  <si>
    <t>IoT Modules</t>
  </si>
  <si>
    <t>Software Setup</t>
  </si>
  <si>
    <t xml:space="preserve"> Specs</t>
  </si>
  <si>
    <t xml:space="preserve">NIU KQi 100P Scooter </t>
  </si>
  <si>
    <t>GeoFencing System</t>
  </si>
  <si>
    <t>Ports/Station</t>
  </si>
  <si>
    <t>Stations</t>
  </si>
  <si>
    <t>MLCS Unit Adapter</t>
  </si>
  <si>
    <t>Shipping</t>
  </si>
  <si>
    <t>10-Port Station</t>
  </si>
  <si>
    <t>Kuhmute Smart Hub Station</t>
  </si>
  <si>
    <t>Joyride Neon IoT (GeoFencing)</t>
  </si>
  <si>
    <t>Soft-Ware Setup</t>
  </si>
  <si>
    <t>Eletrical Trenching</t>
  </si>
  <si>
    <t>Concrete Pads</t>
  </si>
  <si>
    <t>Eletrical Hookup</t>
  </si>
  <si>
    <t>Site Development (5 Stations)</t>
  </si>
  <si>
    <t xml:space="preserve">CSU Building </t>
  </si>
  <si>
    <t>ADA Title 24 Review</t>
  </si>
  <si>
    <t>Fire Marshal Review</t>
  </si>
  <si>
    <t>Permits</t>
  </si>
  <si>
    <t>SMOP (Annual)</t>
  </si>
  <si>
    <t>EHS</t>
  </si>
  <si>
    <t>Eletetrical Plan Review</t>
  </si>
  <si>
    <t>Site Development</t>
  </si>
  <si>
    <t xml:space="preserve">Hourly Retrofitting Labor Rate  </t>
  </si>
  <si>
    <t>Stock Scooter Fleet</t>
  </si>
  <si>
    <t xml:space="preserve">IoT Modules </t>
  </si>
  <si>
    <t xml:space="preserve">Retrofitting Labor </t>
  </si>
  <si>
    <t>Smart Hub Stations</t>
  </si>
  <si>
    <t>Joyride Scale Monthly  Fee</t>
  </si>
  <si>
    <t>Contingency</t>
  </si>
  <si>
    <t>Fleet</t>
  </si>
  <si>
    <t>Item</t>
  </si>
  <si>
    <t>MLCS Adapters</t>
  </si>
  <si>
    <t>Quantity</t>
  </si>
  <si>
    <t>Kuhmute Smart Hub</t>
  </si>
  <si>
    <t>Base Fee</t>
  </si>
  <si>
    <t>Rate/lb</t>
  </si>
  <si>
    <t>Spare Parts</t>
  </si>
  <si>
    <t xml:space="preserve"> Tires </t>
  </si>
  <si>
    <t xml:space="preserve"> Brakes </t>
  </si>
  <si>
    <t xml:space="preserve"> Batteries </t>
  </si>
  <si>
    <t xml:space="preserve"> Frame </t>
  </si>
  <si>
    <t xml:space="preserve"> Electric </t>
  </si>
  <si>
    <t xml:space="preserve"> Lights </t>
  </si>
  <si>
    <t>Cost Per Part</t>
  </si>
  <si>
    <t>Part</t>
  </si>
  <si>
    <t>2 Month Need</t>
  </si>
  <si>
    <t>+ Safety Factor</t>
  </si>
  <si>
    <t>Campus Sight Markers/Barriors</t>
  </si>
  <si>
    <t>On-Site Storage Allocation</t>
  </si>
  <si>
    <t>Aprox Unit/Weight(lb)</t>
  </si>
  <si>
    <t>Total Item Weight (lb)</t>
  </si>
  <si>
    <t xml:space="preserve"> Controller</t>
  </si>
  <si>
    <t>Controller</t>
  </si>
  <si>
    <t>Supplier</t>
  </si>
  <si>
    <t>NIU</t>
  </si>
  <si>
    <t>Joyride</t>
  </si>
  <si>
    <t>Kuhmute</t>
  </si>
  <si>
    <t>Monthly Annuity (25% Down)</t>
  </si>
  <si>
    <t>Finance Options</t>
  </si>
  <si>
    <t>3 Year Finance (25% Down)</t>
  </si>
  <si>
    <t>Nominal Interest Rates</t>
  </si>
  <si>
    <t>University MARR</t>
  </si>
  <si>
    <t>Option PV vs MARR</t>
  </si>
  <si>
    <t xml:space="preserve"> Annual Corrective Maintenance</t>
  </si>
  <si>
    <t>Annual Preventative Maintenance</t>
  </si>
  <si>
    <t>Parameter</t>
  </si>
  <si>
    <t>Estmate</t>
  </si>
  <si>
    <t>Notes</t>
  </si>
  <si>
    <t>Enrolled Students</t>
  </si>
  <si>
    <t>Active Months Per year</t>
  </si>
  <si>
    <t>Active Hours Per Day</t>
  </si>
  <si>
    <t>On-Campus Population %</t>
  </si>
  <si>
    <t>Classification</t>
  </si>
  <si>
    <t>Moderate</t>
  </si>
  <si>
    <t>Fall/Spring Semesters</t>
  </si>
  <si>
    <t>Aggressive</t>
  </si>
  <si>
    <t>Based on 2025 Year Enrollment</t>
  </si>
  <si>
    <t>Active Days Per Week</t>
  </si>
  <si>
    <t>Conservative</t>
  </si>
  <si>
    <t>Peak Hours</t>
  </si>
  <si>
    <t>-</t>
  </si>
  <si>
    <t>10am-3pm</t>
  </si>
  <si>
    <t>9am-9PM</t>
  </si>
  <si>
    <t>Average Trip</t>
  </si>
  <si>
    <t>Campus Enthusasim</t>
  </si>
  <si>
    <t>Monday-Friday</t>
  </si>
  <si>
    <t>Daily Trips</t>
  </si>
  <si>
    <t>Daily Fleet Milage</t>
  </si>
  <si>
    <t>Campus size</t>
  </si>
  <si>
    <t>Younger Population Interest</t>
  </si>
  <si>
    <t>Consistent Campus Students</t>
  </si>
  <si>
    <t>Daily Unit Milage</t>
  </si>
  <si>
    <t>Moderage</t>
  </si>
  <si>
    <t>Active Days/Year</t>
  </si>
  <si>
    <t>Montly Averages</t>
  </si>
  <si>
    <t>Trips</t>
  </si>
  <si>
    <t>Fleet Miles</t>
  </si>
  <si>
    <t>Unit Miles</t>
  </si>
  <si>
    <t>Project Life (Years)</t>
  </si>
  <si>
    <t xml:space="preserve">Spare Parts Stock </t>
  </si>
  <si>
    <t>Inhouse Labor Option</t>
  </si>
  <si>
    <t>Unit Milage Range</t>
  </si>
  <si>
    <t>Avg Daily Rides Per User</t>
  </si>
  <si>
    <t>Daily Unit Capacity Usage</t>
  </si>
  <si>
    <t>Active Fleet Size</t>
  </si>
  <si>
    <t>NIU KQi 100P  Range</t>
  </si>
  <si>
    <t>Average Montly Miles</t>
  </si>
  <si>
    <t>Average Montly Charges</t>
  </si>
  <si>
    <t>Battery Capacity (kWh)</t>
  </si>
  <si>
    <t>Average Monthly Energy (kWh)</t>
  </si>
  <si>
    <t>Energy Cost /kWh</t>
  </si>
  <si>
    <t>Charger Hub Parastic Loss</t>
  </si>
  <si>
    <t>Average Monthly Energy Bill</t>
  </si>
  <si>
    <t>Value</t>
  </si>
  <si>
    <t>Year Option Selected</t>
  </si>
  <si>
    <t>Monthy Cost</t>
  </si>
  <si>
    <t>Labor</t>
  </si>
  <si>
    <t>Parts</t>
  </si>
  <si>
    <t>Finance Payments</t>
  </si>
  <si>
    <t>Joyride  Scale Plan</t>
  </si>
  <si>
    <t>Permit</t>
  </si>
  <si>
    <t xml:space="preserve">Monthly Parts Order  </t>
  </si>
  <si>
    <t>Project Startup Order</t>
  </si>
  <si>
    <t>Inflation Factor</t>
  </si>
  <si>
    <t>NPV</t>
  </si>
  <si>
    <t>AEC</t>
  </si>
  <si>
    <t>CSUEB NIU KQi 100P Scooter Fleet</t>
  </si>
  <si>
    <t xml:space="preserve"> Single Unit Retrofitting Labor Hours</t>
  </si>
  <si>
    <t>Monthly Fee/Unit (After 150)</t>
  </si>
  <si>
    <t>Benefits/Each</t>
  </si>
  <si>
    <t>Scenario</t>
  </si>
  <si>
    <t>Medium</t>
  </si>
  <si>
    <t>High</t>
  </si>
  <si>
    <t>Opt-in Users</t>
  </si>
  <si>
    <t xml:space="preserve">Fee </t>
  </si>
  <si>
    <t xml:space="preserve"> Initial Student Annual Fee </t>
  </si>
  <si>
    <t>Revenue</t>
  </si>
  <si>
    <t>Cash In</t>
  </si>
  <si>
    <t>Inflated Revenue (Medium Scenario)</t>
  </si>
  <si>
    <t>Student Opt-in Annual Fee</t>
  </si>
  <si>
    <t>Project NPV</t>
  </si>
  <si>
    <t>Student Fee Revenue</t>
  </si>
  <si>
    <t xml:space="preserve">Low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</si>
</sst>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"/>
    <numFmt numFmtId="165" formatCode="&quot;$&quot;#,##0.00"/>
    <numFmt numFmtId="166" formatCode="&quot;$&quot;#,##0"/>
    <numFmt numFmtId="167" formatCode="0.0%"/>
    <numFmt numFmtId="170" formatCode="0.000"/>
    <numFmt numFmtId="181" formatCode="&quot;$&quot;#,##0.00;[Red]&quot;$&quot;#,##0.00"/>
  </numFmts>
  <fonts count="1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F1115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4CDA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2" applyFont="1" applyBorder="1" applyAlignment="1">
      <alignment horizontal="center"/>
    </xf>
    <xf numFmtId="9" fontId="0" fillId="0" borderId="1" xfId="2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6" fontId="0" fillId="0" borderId="1" xfId="1" applyNumberFormat="1" applyFont="1" applyBorder="1" applyAlignment="1">
      <alignment horizontal="center" vertical="center"/>
    </xf>
    <xf numFmtId="8" fontId="0" fillId="0" borderId="0" xfId="0" applyNumberFormat="1"/>
    <xf numFmtId="8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6" fontId="0" fillId="0" borderId="1" xfId="0" applyNumberFormat="1" applyBorder="1"/>
    <xf numFmtId="165" fontId="0" fillId="0" borderId="1" xfId="0" applyNumberFormat="1" applyBorder="1"/>
    <xf numFmtId="8" fontId="0" fillId="0" borderId="1" xfId="0" applyNumberFormat="1" applyBorder="1"/>
    <xf numFmtId="0" fontId="0" fillId="4" borderId="1" xfId="0" applyFill="1" applyBorder="1"/>
    <xf numFmtId="166" fontId="5" fillId="4" borderId="1" xfId="0" applyNumberFormat="1" applyFont="1" applyFill="1" applyBorder="1"/>
    <xf numFmtId="44" fontId="0" fillId="0" borderId="1" xfId="1" applyFont="1" applyFill="1" applyBorder="1" applyAlignment="1">
      <alignment horizontal="center" vertical="center"/>
    </xf>
    <xf numFmtId="6" fontId="0" fillId="0" borderId="1" xfId="0" applyNumberFormat="1" applyBorder="1" applyAlignment="1">
      <alignment horizontal="center" vertical="center"/>
    </xf>
    <xf numFmtId="44" fontId="0" fillId="0" borderId="5" xfId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44" fontId="0" fillId="5" borderId="1" xfId="1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5" fontId="0" fillId="5" borderId="1" xfId="1" applyNumberFormat="1" applyFont="1" applyFill="1" applyBorder="1" applyAlignment="1">
      <alignment horizontal="center" vertical="center"/>
    </xf>
    <xf numFmtId="44" fontId="8" fillId="0" borderId="5" xfId="1" applyFont="1" applyFill="1" applyBorder="1" applyAlignment="1">
      <alignment horizontal="left" vertical="center"/>
    </xf>
    <xf numFmtId="2" fontId="0" fillId="0" borderId="1" xfId="2" applyNumberFormat="1" applyFont="1" applyBorder="1" applyAlignment="1">
      <alignment horizontal="center"/>
    </xf>
    <xf numFmtId="2" fontId="0" fillId="5" borderId="1" xfId="2" applyNumberFormat="1" applyFont="1" applyFill="1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1" fontId="0" fillId="5" borderId="1" xfId="2" applyNumberFormat="1" applyFont="1" applyFill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44" fontId="3" fillId="0" borderId="1" xfId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3" fontId="0" fillId="0" borderId="1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1" xfId="0" applyNumberFormat="1" applyBorder="1"/>
    <xf numFmtId="0" fontId="0" fillId="0" borderId="7" xfId="0" applyBorder="1" applyAlignment="1">
      <alignment horizontal="center"/>
    </xf>
    <xf numFmtId="165" fontId="0" fillId="0" borderId="7" xfId="0" applyNumberFormat="1" applyBorder="1"/>
    <xf numFmtId="0" fontId="0" fillId="0" borderId="8" xfId="0" applyBorder="1" applyAlignment="1">
      <alignment horizontal="center"/>
    </xf>
    <xf numFmtId="165" fontId="0" fillId="0" borderId="8" xfId="0" applyNumberFormat="1" applyBorder="1"/>
    <xf numFmtId="0" fontId="0" fillId="0" borderId="7" xfId="0" applyBorder="1" applyAlignment="1">
      <alignment horizontal="center" vertical="center"/>
    </xf>
    <xf numFmtId="1" fontId="0" fillId="0" borderId="7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6" fontId="0" fillId="0" borderId="10" xfId="0" applyNumberFormat="1" applyBorder="1"/>
    <xf numFmtId="0" fontId="0" fillId="0" borderId="9" xfId="0" applyBorder="1" applyAlignment="1">
      <alignment horizontal="center" vertical="center"/>
    </xf>
    <xf numFmtId="44" fontId="10" fillId="0" borderId="1" xfId="0" applyNumberFormat="1" applyFont="1" applyBorder="1" applyAlignment="1">
      <alignment horizontal="center" vertical="center"/>
    </xf>
    <xf numFmtId="44" fontId="10" fillId="0" borderId="10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44" fontId="10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165" fontId="0" fillId="0" borderId="11" xfId="0" applyNumberFormat="1" applyBorder="1"/>
    <xf numFmtId="165" fontId="0" fillId="0" borderId="10" xfId="0" applyNumberFormat="1" applyBorder="1"/>
    <xf numFmtId="164" fontId="0" fillId="0" borderId="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0" fillId="0" borderId="9" xfId="0" applyNumberFormat="1" applyBorder="1"/>
    <xf numFmtId="0" fontId="0" fillId="0" borderId="14" xfId="0" applyBorder="1" applyAlignment="1">
      <alignment horizontal="center"/>
    </xf>
    <xf numFmtId="44" fontId="10" fillId="0" borderId="14" xfId="0" applyNumberFormat="1" applyFont="1" applyBorder="1" applyAlignment="1">
      <alignment horizontal="center" vertical="center"/>
    </xf>
    <xf numFmtId="164" fontId="0" fillId="0" borderId="14" xfId="0" applyNumberFormat="1" applyBorder="1" applyAlignment="1">
      <alignment horizontal="center"/>
    </xf>
    <xf numFmtId="165" fontId="0" fillId="0" borderId="14" xfId="0" applyNumberFormat="1" applyBorder="1"/>
    <xf numFmtId="0" fontId="0" fillId="0" borderId="15" xfId="0" applyBorder="1" applyAlignment="1">
      <alignment horizontal="center"/>
    </xf>
    <xf numFmtId="165" fontId="0" fillId="0" borderId="16" xfId="0" applyNumberFormat="1" applyBorder="1"/>
    <xf numFmtId="0" fontId="0" fillId="0" borderId="15" xfId="0" applyBorder="1"/>
    <xf numFmtId="1" fontId="0" fillId="0" borderId="15" xfId="0" applyNumberFormat="1" applyBorder="1" applyAlignment="1">
      <alignment horizontal="center"/>
    </xf>
    <xf numFmtId="0" fontId="0" fillId="0" borderId="10" xfId="0" quotePrefix="1" applyBorder="1" applyAlignment="1">
      <alignment horizontal="center"/>
    </xf>
    <xf numFmtId="9" fontId="0" fillId="0" borderId="1" xfId="2" applyFont="1" applyBorder="1"/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3" fontId="0" fillId="0" borderId="11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64" fontId="0" fillId="0" borderId="0" xfId="0" applyNumberFormat="1"/>
    <xf numFmtId="164" fontId="0" fillId="0" borderId="5" xfId="0" applyNumberFormat="1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0" borderId="0" xfId="0" applyAlignment="1"/>
    <xf numFmtId="0" fontId="0" fillId="0" borderId="2" xfId="0" applyBorder="1" applyAlignment="1"/>
    <xf numFmtId="0" fontId="0" fillId="0" borderId="1" xfId="0" applyBorder="1" applyAlignment="1"/>
    <xf numFmtId="0" fontId="0" fillId="0" borderId="0" xfId="0" applyBorder="1" applyAlignment="1"/>
    <xf numFmtId="8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/>
    <xf numFmtId="0" fontId="0" fillId="0" borderId="0" xfId="0" applyAlignment="1">
      <alignment horizontal="center" vertical="center"/>
    </xf>
    <xf numFmtId="0" fontId="0" fillId="0" borderId="1" xfId="0" applyFill="1" applyBorder="1" applyAlignment="1"/>
    <xf numFmtId="9" fontId="0" fillId="0" borderId="1" xfId="0" applyNumberFormat="1" applyBorder="1" applyAlignment="1">
      <alignment horizontal="center"/>
    </xf>
    <xf numFmtId="0" fontId="0" fillId="0" borderId="1" xfId="0" applyFill="1" applyBorder="1"/>
    <xf numFmtId="1" fontId="0" fillId="0" borderId="1" xfId="0" applyNumberFormat="1" applyBorder="1"/>
    <xf numFmtId="0" fontId="0" fillId="0" borderId="10" xfId="0" applyBorder="1"/>
    <xf numFmtId="1" fontId="0" fillId="0" borderId="10" xfId="0" applyNumberFormat="1" applyBorder="1"/>
    <xf numFmtId="0" fontId="11" fillId="9" borderId="9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8" xfId="0" applyBorder="1" applyAlignment="1"/>
    <xf numFmtId="0" fontId="0" fillId="0" borderId="10" xfId="0" applyFill="1" applyBorder="1"/>
    <xf numFmtId="0" fontId="0" fillId="0" borderId="20" xfId="0" applyBorder="1"/>
    <xf numFmtId="0" fontId="0" fillId="0" borderId="21" xfId="0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8" xfId="0" applyFill="1" applyBorder="1" applyAlignment="1">
      <alignment horizontal="center" vertical="center"/>
    </xf>
    <xf numFmtId="167" fontId="0" fillId="0" borderId="7" xfId="2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/>
    </xf>
    <xf numFmtId="164" fontId="0" fillId="0" borderId="1" xfId="0" applyNumberFormat="1" applyFill="1" applyBorder="1" applyAlignment="1"/>
    <xf numFmtId="165" fontId="0" fillId="0" borderId="1" xfId="1" applyNumberFormat="1" applyFont="1" applyFill="1" applyBorder="1" applyAlignment="1"/>
    <xf numFmtId="0" fontId="0" fillId="0" borderId="9" xfId="0" applyBorder="1"/>
    <xf numFmtId="0" fontId="0" fillId="0" borderId="10" xfId="0" applyFill="1" applyBorder="1" applyAlignment="1"/>
    <xf numFmtId="1" fontId="0" fillId="0" borderId="10" xfId="0" applyNumberFormat="1" applyFill="1" applyBorder="1" applyAlignment="1"/>
    <xf numFmtId="0" fontId="0" fillId="0" borderId="22" xfId="0" applyFill="1" applyBorder="1"/>
    <xf numFmtId="0" fontId="0" fillId="0" borderId="23" xfId="0" quotePrefix="1" applyNumberForma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44" fontId="10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44" fontId="10" fillId="0" borderId="25" xfId="0" applyNumberFormat="1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5" fontId="0" fillId="0" borderId="15" xfId="0" applyNumberFormat="1" applyBorder="1"/>
    <xf numFmtId="165" fontId="0" fillId="0" borderId="10" xfId="0" applyNumberFormat="1" applyBorder="1" applyAlignment="1">
      <alignment horizontal="center" vertical="center"/>
    </xf>
    <xf numFmtId="0" fontId="11" fillId="11" borderId="9" xfId="0" applyFont="1" applyFill="1" applyBorder="1" applyAlignment="1">
      <alignment horizontal="center" vertical="center"/>
    </xf>
    <xf numFmtId="165" fontId="0" fillId="0" borderId="1" xfId="0" applyNumberFormat="1" applyBorder="1" applyAlignment="1"/>
    <xf numFmtId="8" fontId="0" fillId="0" borderId="1" xfId="0" applyNumberFormat="1" applyBorder="1" applyAlignment="1"/>
    <xf numFmtId="0" fontId="0" fillId="12" borderId="1" xfId="0" applyFill="1" applyBorder="1" applyAlignment="1">
      <alignment horizontal="center"/>
    </xf>
    <xf numFmtId="170" fontId="0" fillId="0" borderId="10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165" fontId="0" fillId="0" borderId="10" xfId="0" applyNumberFormat="1" applyBorder="1" applyAlignment="1"/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13" borderId="24" xfId="0" applyFill="1" applyBorder="1" applyAlignment="1">
      <alignment horizontal="center"/>
    </xf>
    <xf numFmtId="0" fontId="0" fillId="14" borderId="22" xfId="0" applyFill="1" applyBorder="1" applyAlignment="1">
      <alignment horizontal="center"/>
    </xf>
    <xf numFmtId="0" fontId="0" fillId="14" borderId="23" xfId="0" applyFill="1" applyBorder="1" applyAlignment="1">
      <alignment horizontal="center"/>
    </xf>
    <xf numFmtId="0" fontId="0" fillId="10" borderId="24" xfId="0" applyFill="1" applyBorder="1" applyAlignment="1">
      <alignment horizontal="center"/>
    </xf>
    <xf numFmtId="0" fontId="0" fillId="0" borderId="19" xfId="0" applyFill="1" applyBorder="1"/>
    <xf numFmtId="0" fontId="11" fillId="11" borderId="7" xfId="0" applyFont="1" applyFill="1" applyBorder="1" applyAlignment="1">
      <alignment horizontal="center" vertical="center"/>
    </xf>
    <xf numFmtId="165" fontId="12" fillId="0" borderId="1" xfId="0" applyNumberFormat="1" applyFont="1" applyBorder="1"/>
    <xf numFmtId="181" fontId="0" fillId="0" borderId="1" xfId="0" applyNumberFormat="1" applyBorder="1" applyAlignment="1"/>
    <xf numFmtId="181" fontId="0" fillId="0" borderId="1" xfId="0" applyNumberFormat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4CDAE"/>
      <color rgb="FFFF7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AFF25-91F7-4987-948B-6920378FFDE4}">
  <dimension ref="B2:I47"/>
  <sheetViews>
    <sheetView topLeftCell="A19" zoomScale="134" workbookViewId="0">
      <selection activeCell="E48" sqref="E48"/>
    </sheetView>
  </sheetViews>
  <sheetFormatPr baseColWidth="10" defaultColWidth="8.83203125" defaultRowHeight="15" x14ac:dyDescent="0.2"/>
  <cols>
    <col min="2" max="2" width="22.6640625" customWidth="1"/>
    <col min="3" max="3" width="12.1640625" customWidth="1"/>
    <col min="5" max="5" width="27" customWidth="1"/>
    <col min="6" max="6" width="13.5" bestFit="1" customWidth="1"/>
    <col min="7" max="7" width="23.33203125" customWidth="1"/>
    <col min="8" max="8" width="15.5" customWidth="1"/>
    <col min="9" max="9" width="9.1640625" bestFit="1" customWidth="1"/>
    <col min="12" max="12" width="9.6640625" customWidth="1"/>
    <col min="13" max="13" width="5.6640625" customWidth="1"/>
    <col min="14" max="14" width="10.1640625" customWidth="1"/>
    <col min="15" max="15" width="14.5" customWidth="1"/>
    <col min="17" max="17" width="10.83203125" customWidth="1"/>
    <col min="18" max="18" width="15.83203125" customWidth="1"/>
    <col min="20" max="20" width="11.6640625" customWidth="1"/>
    <col min="21" max="21" width="13.33203125" customWidth="1"/>
    <col min="22" max="22" width="8.33203125" customWidth="1"/>
    <col min="23" max="23" width="9.33203125" customWidth="1"/>
    <col min="24" max="24" width="21.6640625" customWidth="1"/>
  </cols>
  <sheetData>
    <row r="2" spans="2:9" ht="16" customHeight="1" x14ac:dyDescent="0.2">
      <c r="B2" s="131" t="s">
        <v>66</v>
      </c>
      <c r="C2" s="86"/>
      <c r="E2" s="88" t="s">
        <v>1</v>
      </c>
      <c r="F2" s="89"/>
    </row>
    <row r="3" spans="2:9" x14ac:dyDescent="0.2">
      <c r="B3" s="3" t="s">
        <v>0</v>
      </c>
      <c r="C3" s="7">
        <v>300</v>
      </c>
      <c r="E3" s="3" t="s">
        <v>2</v>
      </c>
      <c r="F3" s="5">
        <v>0.1</v>
      </c>
    </row>
    <row r="4" spans="2:9" x14ac:dyDescent="0.2">
      <c r="B4" s="50" t="s">
        <v>3</v>
      </c>
      <c r="C4" s="51">
        <v>150</v>
      </c>
      <c r="E4" s="3" t="s">
        <v>164</v>
      </c>
      <c r="F4" s="3">
        <v>5</v>
      </c>
    </row>
    <row r="5" spans="2:9" x14ac:dyDescent="0.2">
      <c r="B5" s="52"/>
      <c r="C5" s="53"/>
      <c r="E5" s="3" t="s">
        <v>42</v>
      </c>
      <c r="F5" s="133">
        <v>3.5000000000000003E-2</v>
      </c>
    </row>
    <row r="6" spans="2:9" x14ac:dyDescent="0.2">
      <c r="B6" s="84" t="s">
        <v>65</v>
      </c>
      <c r="C6" s="84"/>
      <c r="E6" s="132" t="s">
        <v>127</v>
      </c>
      <c r="F6" s="118">
        <v>0.08</v>
      </c>
    </row>
    <row r="7" spans="2:9" x14ac:dyDescent="0.2">
      <c r="B7" s="3" t="s">
        <v>8</v>
      </c>
      <c r="C7" s="3">
        <v>243</v>
      </c>
      <c r="E7" s="3" t="s">
        <v>88</v>
      </c>
      <c r="F7" s="134">
        <v>100</v>
      </c>
    </row>
    <row r="8" spans="2:9" ht="16" thickBot="1" x14ac:dyDescent="0.25">
      <c r="B8" s="3" t="s">
        <v>5</v>
      </c>
      <c r="C8" s="2">
        <f>C7/1000</f>
        <v>0.24299999999999999</v>
      </c>
    </row>
    <row r="9" spans="2:9" ht="16" thickBot="1" x14ac:dyDescent="0.25">
      <c r="B9" s="3" t="s">
        <v>6</v>
      </c>
      <c r="C9" s="3">
        <v>18</v>
      </c>
      <c r="E9" s="124" t="s">
        <v>165</v>
      </c>
      <c r="F9" s="125"/>
      <c r="G9" s="125"/>
      <c r="H9" s="125"/>
      <c r="I9" s="126"/>
    </row>
    <row r="10" spans="2:9" x14ac:dyDescent="0.2">
      <c r="B10" s="3" t="s">
        <v>7</v>
      </c>
      <c r="C10" s="3">
        <v>5.5</v>
      </c>
      <c r="E10" s="61" t="s">
        <v>110</v>
      </c>
      <c r="F10" s="61" t="s">
        <v>111</v>
      </c>
      <c r="G10" s="78" t="s">
        <v>112</v>
      </c>
      <c r="H10" s="61" t="s">
        <v>109</v>
      </c>
      <c r="I10" s="61" t="s">
        <v>12</v>
      </c>
    </row>
    <row r="11" spans="2:9" x14ac:dyDescent="0.2">
      <c r="B11" s="127"/>
      <c r="C11" s="127"/>
      <c r="E11" s="57" t="s">
        <v>103</v>
      </c>
      <c r="F11" s="1">
        <f>ROUNDUP(Maintenance!G4/6,0)</f>
        <v>4</v>
      </c>
      <c r="G11" s="1">
        <f>ROUNDUP(1.5*F11,0)</f>
        <v>6</v>
      </c>
      <c r="H11" s="59">
        <v>39.799999999999997</v>
      </c>
      <c r="I11" s="12">
        <f>H11*G11</f>
        <v>238.79999999999998</v>
      </c>
    </row>
    <row r="12" spans="2:9" x14ac:dyDescent="0.2">
      <c r="B12" s="110"/>
      <c r="C12" s="110"/>
      <c r="E12" s="57" t="s">
        <v>104</v>
      </c>
      <c r="F12" s="1">
        <f>ROUNDUP(Maintenance!G5/6,0)</f>
        <v>6</v>
      </c>
      <c r="G12" s="1">
        <f t="shared" ref="G12:G16" si="0">ROUNDUP(1.5*F12,0)</f>
        <v>9</v>
      </c>
      <c r="H12" s="59">
        <v>25</v>
      </c>
      <c r="I12" s="12">
        <f t="shared" ref="I12:I15" si="1">H12*G12</f>
        <v>225</v>
      </c>
    </row>
    <row r="13" spans="2:9" ht="14.5" customHeight="1" x14ac:dyDescent="0.2">
      <c r="B13" s="82" t="s">
        <v>74</v>
      </c>
      <c r="C13" s="83"/>
      <c r="E13" s="57" t="s">
        <v>105</v>
      </c>
      <c r="F13" s="1">
        <f>ROUNDUP(Maintenance!G6/6,0)</f>
        <v>4</v>
      </c>
      <c r="G13" s="1">
        <f t="shared" si="0"/>
        <v>6</v>
      </c>
      <c r="H13" s="59">
        <v>105</v>
      </c>
      <c r="I13" s="12">
        <f t="shared" si="1"/>
        <v>630</v>
      </c>
    </row>
    <row r="14" spans="2:9" x14ac:dyDescent="0.2">
      <c r="B14" s="3" t="s">
        <v>93</v>
      </c>
      <c r="C14" s="12">
        <v>2500</v>
      </c>
      <c r="E14" s="57" t="s">
        <v>106</v>
      </c>
      <c r="F14" s="1">
        <f>ROUNDUP(Maintenance!G7/6,0)</f>
        <v>1</v>
      </c>
      <c r="G14" s="1">
        <f t="shared" si="0"/>
        <v>2</v>
      </c>
      <c r="H14" s="59">
        <v>240</v>
      </c>
      <c r="I14" s="12">
        <f t="shared" si="1"/>
        <v>480</v>
      </c>
    </row>
    <row r="15" spans="2:9" x14ac:dyDescent="0.2">
      <c r="B15" s="3" t="s">
        <v>194</v>
      </c>
      <c r="C15" s="12">
        <v>8</v>
      </c>
      <c r="E15" s="57" t="s">
        <v>107</v>
      </c>
      <c r="F15" s="1">
        <f>ROUNDUP(Maintenance!G8/6,0)</f>
        <v>3</v>
      </c>
      <c r="G15" s="1">
        <f t="shared" si="0"/>
        <v>5</v>
      </c>
      <c r="H15" s="59">
        <v>40</v>
      </c>
      <c r="I15" s="12">
        <f t="shared" si="1"/>
        <v>200</v>
      </c>
    </row>
    <row r="16" spans="2:9" x14ac:dyDescent="0.2">
      <c r="B16" s="3" t="s">
        <v>63</v>
      </c>
      <c r="C16" s="12">
        <v>100</v>
      </c>
      <c r="E16" s="57" t="s">
        <v>108</v>
      </c>
      <c r="F16" s="1">
        <f>ROUNDUP(Maintenance!G9/6,0)</f>
        <v>6</v>
      </c>
      <c r="G16" s="1">
        <f t="shared" si="0"/>
        <v>9</v>
      </c>
      <c r="H16" s="59">
        <v>25</v>
      </c>
      <c r="I16" s="12">
        <f>H16*G16</f>
        <v>225</v>
      </c>
    </row>
    <row r="17" spans="2:9" x14ac:dyDescent="0.2">
      <c r="B17" s="3" t="s">
        <v>64</v>
      </c>
      <c r="C17" s="12">
        <v>1000</v>
      </c>
      <c r="E17" s="57" t="s">
        <v>12</v>
      </c>
      <c r="F17" s="1"/>
      <c r="G17" s="1"/>
      <c r="H17" s="1"/>
      <c r="I17" s="12">
        <f>SUM(I11:I16)</f>
        <v>1998.8</v>
      </c>
    </row>
    <row r="19" spans="2:9" ht="16" x14ac:dyDescent="0.2">
      <c r="B19" s="85" t="s">
        <v>73</v>
      </c>
      <c r="C19" s="86"/>
    </row>
    <row r="20" spans="2:9" x14ac:dyDescent="0.2">
      <c r="B20" s="3" t="s">
        <v>68</v>
      </c>
      <c r="C20" s="3">
        <v>20</v>
      </c>
    </row>
    <row r="21" spans="2:9" x14ac:dyDescent="0.2">
      <c r="B21" s="3" t="s">
        <v>69</v>
      </c>
      <c r="C21" s="43">
        <v>6</v>
      </c>
    </row>
    <row r="22" spans="2:9" x14ac:dyDescent="0.2">
      <c r="B22" s="2" t="s">
        <v>70</v>
      </c>
      <c r="C22" s="12">
        <v>70</v>
      </c>
    </row>
    <row r="23" spans="2:9" x14ac:dyDescent="0.2">
      <c r="B23" s="2" t="s">
        <v>72</v>
      </c>
      <c r="C23" s="12">
        <v>15000</v>
      </c>
    </row>
    <row r="24" spans="2:9" x14ac:dyDescent="0.2">
      <c r="B24" s="46" t="s">
        <v>75</v>
      </c>
      <c r="C24" s="47">
        <v>1000</v>
      </c>
    </row>
    <row r="25" spans="2:9" x14ac:dyDescent="0.2">
      <c r="B25" s="48"/>
      <c r="C25" s="49"/>
    </row>
    <row r="26" spans="2:9" x14ac:dyDescent="0.2">
      <c r="B26" s="84" t="s">
        <v>79</v>
      </c>
      <c r="C26" s="84"/>
    </row>
    <row r="27" spans="2:9" x14ac:dyDescent="0.2">
      <c r="B27" s="1" t="s">
        <v>76</v>
      </c>
      <c r="C27" s="12">
        <v>45000</v>
      </c>
    </row>
    <row r="28" spans="2:9" x14ac:dyDescent="0.2">
      <c r="B28" s="1" t="s">
        <v>77</v>
      </c>
      <c r="C28" s="12">
        <v>18000</v>
      </c>
    </row>
    <row r="29" spans="2:9" x14ac:dyDescent="0.2">
      <c r="B29" s="1" t="s">
        <v>78</v>
      </c>
      <c r="C29" s="12">
        <v>12000</v>
      </c>
    </row>
    <row r="30" spans="2:9" x14ac:dyDescent="0.2">
      <c r="B30" s="1" t="s">
        <v>113</v>
      </c>
      <c r="C30" s="12">
        <v>6000</v>
      </c>
    </row>
    <row r="31" spans="2:9" x14ac:dyDescent="0.2">
      <c r="B31" s="1" t="s">
        <v>114</v>
      </c>
      <c r="C31" s="12">
        <v>3000</v>
      </c>
    </row>
    <row r="32" spans="2:9" x14ac:dyDescent="0.2">
      <c r="B32" s="1" t="s">
        <v>94</v>
      </c>
      <c r="C32" s="45">
        <v>0.1</v>
      </c>
    </row>
    <row r="34" spans="2:3" x14ac:dyDescent="0.2">
      <c r="B34" s="84" t="s">
        <v>193</v>
      </c>
      <c r="C34" s="84"/>
    </row>
    <row r="35" spans="2:3" x14ac:dyDescent="0.2">
      <c r="B35" s="3" t="s">
        <v>90</v>
      </c>
      <c r="C35" s="1">
        <v>0.5</v>
      </c>
    </row>
    <row r="36" spans="2:3" x14ac:dyDescent="0.2">
      <c r="B36" s="2" t="s">
        <v>70</v>
      </c>
      <c r="C36" s="1">
        <v>1</v>
      </c>
    </row>
    <row r="38" spans="2:3" x14ac:dyDescent="0.2">
      <c r="B38" s="84" t="s">
        <v>83</v>
      </c>
      <c r="C38" s="84"/>
    </row>
    <row r="39" spans="2:3" x14ac:dyDescent="0.2">
      <c r="B39" s="1" t="s">
        <v>80</v>
      </c>
      <c r="C39" s="12">
        <v>1500</v>
      </c>
    </row>
    <row r="40" spans="2:3" x14ac:dyDescent="0.2">
      <c r="B40" s="1" t="s">
        <v>81</v>
      </c>
      <c r="C40" s="12">
        <v>2500</v>
      </c>
    </row>
    <row r="41" spans="2:3" x14ac:dyDescent="0.2">
      <c r="B41" s="1" t="s">
        <v>86</v>
      </c>
      <c r="C41" s="12">
        <v>1000</v>
      </c>
    </row>
    <row r="42" spans="2:3" x14ac:dyDescent="0.2">
      <c r="B42" s="1" t="s">
        <v>82</v>
      </c>
      <c r="C42" s="12">
        <v>2000</v>
      </c>
    </row>
    <row r="43" spans="2:3" x14ac:dyDescent="0.2">
      <c r="B43" s="1" t="s">
        <v>85</v>
      </c>
      <c r="C43" s="12">
        <v>1500</v>
      </c>
    </row>
    <row r="44" spans="2:3" x14ac:dyDescent="0.2">
      <c r="B44" s="1" t="s">
        <v>84</v>
      </c>
      <c r="C44" s="12">
        <v>2500</v>
      </c>
    </row>
    <row r="46" spans="2:3" x14ac:dyDescent="0.2">
      <c r="B46" s="84" t="s">
        <v>202</v>
      </c>
      <c r="C46" s="84"/>
    </row>
    <row r="47" spans="2:3" x14ac:dyDescent="0.2">
      <c r="B47" s="1" t="s">
        <v>205</v>
      </c>
      <c r="C47" s="12">
        <v>210</v>
      </c>
    </row>
  </sheetData>
  <mergeCells count="10">
    <mergeCell ref="B46:C46"/>
    <mergeCell ref="E9:I9"/>
    <mergeCell ref="B13:C13"/>
    <mergeCell ref="B34:C34"/>
    <mergeCell ref="B26:C26"/>
    <mergeCell ref="B38:C38"/>
    <mergeCell ref="B19:C19"/>
    <mergeCell ref="B2:C2"/>
    <mergeCell ref="E2:F2"/>
    <mergeCell ref="B6:C6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E4FD-5372-4920-8D3A-2456E7E15F04}">
  <dimension ref="B1:Z32"/>
  <sheetViews>
    <sheetView workbookViewId="0">
      <selection activeCell="B27" sqref="B27"/>
    </sheetView>
  </sheetViews>
  <sheetFormatPr baseColWidth="10" defaultColWidth="8.83203125" defaultRowHeight="15" x14ac:dyDescent="0.2"/>
  <cols>
    <col min="2" max="2" width="23.6640625" bestFit="1" customWidth="1"/>
    <col min="3" max="3" width="10.6640625" customWidth="1"/>
    <col min="4" max="4" width="9.33203125" bestFit="1" customWidth="1"/>
    <col min="5" max="5" width="15.83203125" customWidth="1"/>
    <col min="6" max="6" width="13.1640625" bestFit="1" customWidth="1"/>
    <col min="7" max="7" width="14.33203125" bestFit="1" customWidth="1"/>
    <col min="8" max="8" width="13.83203125" bestFit="1" customWidth="1"/>
    <col min="9" max="9" width="12.1640625" bestFit="1" customWidth="1"/>
    <col min="12" max="12" width="9.6640625" bestFit="1" customWidth="1"/>
    <col min="13" max="13" width="13.83203125" bestFit="1" customWidth="1"/>
    <col min="14" max="14" width="14.5" bestFit="1" customWidth="1"/>
    <col min="15" max="15" width="14.6640625" bestFit="1" customWidth="1"/>
    <col min="16" max="16" width="12" bestFit="1" customWidth="1"/>
    <col min="17" max="17" width="9.83203125" customWidth="1"/>
    <col min="18" max="18" width="16.83203125" customWidth="1"/>
    <col min="19" max="19" width="15.1640625" bestFit="1" customWidth="1"/>
    <col min="20" max="20" width="14.83203125" customWidth="1"/>
    <col min="21" max="21" width="9.6640625" bestFit="1" customWidth="1"/>
    <col min="22" max="22" width="11.1640625" bestFit="1" customWidth="1"/>
    <col min="23" max="23" width="15.33203125" bestFit="1" customWidth="1"/>
    <col min="24" max="24" width="12.6640625" customWidth="1"/>
  </cols>
  <sheetData>
    <row r="1" spans="2:26" x14ac:dyDescent="0.2">
      <c r="M1" s="94" t="s">
        <v>56</v>
      </c>
      <c r="N1" s="94"/>
      <c r="O1" s="94"/>
      <c r="P1" s="94"/>
    </row>
    <row r="2" spans="2:26" x14ac:dyDescent="0.2">
      <c r="B2" s="92" t="s">
        <v>25</v>
      </c>
      <c r="C2" s="93"/>
      <c r="E2" s="95" t="s">
        <v>129</v>
      </c>
      <c r="F2" s="96"/>
      <c r="G2" s="96"/>
      <c r="H2" s="97"/>
      <c r="M2" s="40" t="s">
        <v>43</v>
      </c>
      <c r="N2" s="40" t="s">
        <v>44</v>
      </c>
      <c r="O2" s="40" t="s">
        <v>45</v>
      </c>
      <c r="P2" s="40" t="s">
        <v>46</v>
      </c>
      <c r="Q2" s="40" t="s">
        <v>47</v>
      </c>
      <c r="R2" s="40" t="s">
        <v>48</v>
      </c>
      <c r="S2" s="40" t="s">
        <v>49</v>
      </c>
      <c r="T2" s="40" t="s">
        <v>50</v>
      </c>
      <c r="U2" s="40" t="s">
        <v>51</v>
      </c>
      <c r="V2" s="40" t="s">
        <v>52</v>
      </c>
      <c r="W2" s="40" t="s">
        <v>53</v>
      </c>
      <c r="X2" s="40" t="s">
        <v>54</v>
      </c>
    </row>
    <row r="3" spans="2:26" x14ac:dyDescent="0.2">
      <c r="B3" s="16" t="s">
        <v>26</v>
      </c>
      <c r="C3" s="6">
        <v>100</v>
      </c>
      <c r="E3" s="3" t="s">
        <v>30</v>
      </c>
      <c r="F3" s="3" t="s">
        <v>28</v>
      </c>
      <c r="G3" s="3" t="s">
        <v>31</v>
      </c>
      <c r="H3" s="3" t="s">
        <v>0</v>
      </c>
      <c r="M3" s="3">
        <v>2432</v>
      </c>
      <c r="N3" s="41">
        <v>46379</v>
      </c>
      <c r="O3" s="3">
        <v>142</v>
      </c>
      <c r="P3" s="41">
        <v>46378</v>
      </c>
      <c r="Q3" s="3" t="s">
        <v>18</v>
      </c>
      <c r="R3" s="3">
        <v>1</v>
      </c>
      <c r="S3" s="42">
        <v>46379.523611111108</v>
      </c>
      <c r="T3" s="42">
        <v>46380.540972222225</v>
      </c>
      <c r="U3" s="3" t="s">
        <v>55</v>
      </c>
      <c r="V3" s="3">
        <v>39.799999999999997</v>
      </c>
      <c r="W3" s="3">
        <f>T3-S3</f>
        <v>1.0173611111167702</v>
      </c>
      <c r="X3" s="42">
        <v>46385.541666666664</v>
      </c>
      <c r="Y3" s="10"/>
      <c r="Z3" s="10"/>
    </row>
    <row r="4" spans="2:26" x14ac:dyDescent="0.2">
      <c r="B4" s="16" t="s">
        <v>32</v>
      </c>
      <c r="C4" s="19">
        <v>1</v>
      </c>
      <c r="E4" s="16" t="s">
        <v>18</v>
      </c>
      <c r="F4" s="4">
        <v>0.85</v>
      </c>
      <c r="G4" s="2">
        <f>(1-F4)*'Project Details'!$C$4</f>
        <v>22.500000000000004</v>
      </c>
      <c r="H4" s="24">
        <f>C14*G4</f>
        <v>895.50000000000011</v>
      </c>
      <c r="M4" s="3">
        <v>2433</v>
      </c>
      <c r="N4" s="41">
        <v>46380</v>
      </c>
      <c r="O4" s="3">
        <v>143</v>
      </c>
      <c r="P4" s="41">
        <v>46379</v>
      </c>
      <c r="Q4" s="39" t="s">
        <v>21</v>
      </c>
      <c r="R4" s="3">
        <v>2</v>
      </c>
      <c r="S4" s="42">
        <v>46379.523611111108</v>
      </c>
      <c r="T4" s="42">
        <v>46380.540972222225</v>
      </c>
      <c r="U4" s="3" t="s">
        <v>57</v>
      </c>
      <c r="V4" s="34">
        <f>C15</f>
        <v>25</v>
      </c>
      <c r="W4" s="3">
        <f t="shared" ref="W4:W5" si="0">T4-S4</f>
        <v>1.0173611111167702</v>
      </c>
      <c r="X4" s="42">
        <v>46386.541666608799</v>
      </c>
    </row>
    <row r="5" spans="2:26" x14ac:dyDescent="0.2">
      <c r="B5" s="16" t="s">
        <v>33</v>
      </c>
      <c r="C5" s="2">
        <v>0.5</v>
      </c>
      <c r="E5" s="16" t="s">
        <v>21</v>
      </c>
      <c r="F5" s="4">
        <v>0.79</v>
      </c>
      <c r="G5" s="2">
        <f>(1-F5)*'Project Details'!$C$4</f>
        <v>31.499999999999993</v>
      </c>
      <c r="H5" s="24">
        <f>C15*G5</f>
        <v>787.49999999999977</v>
      </c>
      <c r="M5" s="3">
        <v>2434</v>
      </c>
      <c r="N5" s="41">
        <v>46381</v>
      </c>
      <c r="O5" s="3">
        <v>144</v>
      </c>
      <c r="P5" s="41">
        <v>46380</v>
      </c>
      <c r="Q5" s="39" t="s">
        <v>19</v>
      </c>
      <c r="R5" s="3">
        <v>3</v>
      </c>
      <c r="S5" s="42">
        <v>46379.523611111108</v>
      </c>
      <c r="T5" s="42">
        <v>46380.540972222225</v>
      </c>
      <c r="U5" s="3" t="s">
        <v>58</v>
      </c>
      <c r="V5" s="34">
        <f>C16</f>
        <v>105</v>
      </c>
      <c r="W5" s="3">
        <f t="shared" si="0"/>
        <v>1.0173611111167702</v>
      </c>
      <c r="X5" s="42">
        <v>46387.541666608799</v>
      </c>
    </row>
    <row r="6" spans="2:26" x14ac:dyDescent="0.2">
      <c r="B6" s="16" t="s">
        <v>34</v>
      </c>
      <c r="C6" s="21">
        <f>8760/C8</f>
        <v>69.523809523809518</v>
      </c>
      <c r="E6" s="16" t="s">
        <v>19</v>
      </c>
      <c r="F6" s="4">
        <v>0.85</v>
      </c>
      <c r="G6" s="2">
        <f>(1-F6)*'Project Details'!$C$4</f>
        <v>22.500000000000004</v>
      </c>
      <c r="H6" s="24">
        <f>C16*G6</f>
        <v>2362.5000000000005</v>
      </c>
    </row>
    <row r="7" spans="2:26" x14ac:dyDescent="0.2">
      <c r="B7" s="18" t="s">
        <v>36</v>
      </c>
      <c r="C7" s="21">
        <f>8760/C9</f>
        <v>13.074626865671641</v>
      </c>
      <c r="E7" s="16" t="s">
        <v>20</v>
      </c>
      <c r="F7" s="4">
        <v>0.99</v>
      </c>
      <c r="G7" s="2">
        <f>(1-F7)*'Project Details'!$C$4</f>
        <v>1.5000000000000013</v>
      </c>
      <c r="H7" s="24">
        <f>C17*G7</f>
        <v>360.00000000000034</v>
      </c>
      <c r="L7" s="35"/>
      <c r="M7" s="36"/>
      <c r="O7" s="37"/>
      <c r="R7" s="38"/>
      <c r="S7" s="38"/>
      <c r="W7" s="38"/>
    </row>
    <row r="8" spans="2:26" x14ac:dyDescent="0.2">
      <c r="B8" s="16" t="s">
        <v>35</v>
      </c>
      <c r="C8" s="21">
        <f>G10</f>
        <v>126</v>
      </c>
      <c r="E8" s="16" t="s">
        <v>118</v>
      </c>
      <c r="F8" s="4">
        <v>0.89</v>
      </c>
      <c r="G8" s="2">
        <f>(1-F8)*'Project Details'!$C$4</f>
        <v>16.499999999999996</v>
      </c>
      <c r="H8" s="24">
        <f>C18*G8</f>
        <v>659.99999999999989</v>
      </c>
      <c r="L8" s="35"/>
      <c r="M8" s="36"/>
      <c r="O8" s="37"/>
      <c r="R8" s="38"/>
      <c r="S8" s="38"/>
      <c r="W8" s="38"/>
    </row>
    <row r="9" spans="2:26" x14ac:dyDescent="0.2">
      <c r="B9" s="16" t="s">
        <v>40</v>
      </c>
      <c r="C9" s="21">
        <f>G20</f>
        <v>670</v>
      </c>
      <c r="E9" s="16" t="s">
        <v>23</v>
      </c>
      <c r="F9" s="4">
        <v>0.79</v>
      </c>
      <c r="G9" s="2">
        <f>(1-F9)*'Project Details'!$C$4</f>
        <v>31.499999999999993</v>
      </c>
      <c r="H9" s="24">
        <f>C19*G9</f>
        <v>787.49999999999977</v>
      </c>
      <c r="L9" s="35"/>
      <c r="M9" s="36"/>
      <c r="O9" s="37"/>
      <c r="R9" s="38"/>
      <c r="S9" s="38"/>
      <c r="W9" s="38"/>
    </row>
    <row r="10" spans="2:26" x14ac:dyDescent="0.2">
      <c r="B10" s="18" t="s">
        <v>27</v>
      </c>
      <c r="C10" s="20">
        <f>C4*C8+C9*C5</f>
        <v>461</v>
      </c>
      <c r="E10" s="25" t="s">
        <v>29</v>
      </c>
      <c r="F10" s="26">
        <f>AVERAGE(F4:F9)</f>
        <v>0.86</v>
      </c>
      <c r="G10" s="27">
        <f>SUM(G4:G9)</f>
        <v>126</v>
      </c>
      <c r="H10" s="28">
        <f>SUM(H4:H9)</f>
        <v>5853.0000000000009</v>
      </c>
      <c r="L10" s="35"/>
      <c r="M10" s="36"/>
      <c r="O10" s="37"/>
      <c r="R10" s="38"/>
      <c r="S10" s="38"/>
      <c r="W10" s="38"/>
    </row>
    <row r="11" spans="2:26" x14ac:dyDescent="0.2">
      <c r="B11" s="16" t="s">
        <v>4</v>
      </c>
      <c r="C11" s="6">
        <f>C10*C3</f>
        <v>46100</v>
      </c>
      <c r="L11" s="35"/>
      <c r="M11" s="36"/>
      <c r="O11" s="37"/>
      <c r="R11" s="38"/>
      <c r="S11" s="38"/>
      <c r="W11" s="38"/>
    </row>
    <row r="12" spans="2:26" x14ac:dyDescent="0.2">
      <c r="L12" s="35"/>
    </row>
    <row r="13" spans="2:26" x14ac:dyDescent="0.2">
      <c r="B13" s="22" t="s">
        <v>22</v>
      </c>
      <c r="C13" s="23"/>
      <c r="E13" s="95" t="s">
        <v>130</v>
      </c>
      <c r="F13" s="96"/>
      <c r="G13" s="96"/>
      <c r="H13" s="97"/>
      <c r="L13" s="35"/>
    </row>
    <row r="14" spans="2:26" x14ac:dyDescent="0.2">
      <c r="B14" s="16" t="s">
        <v>18</v>
      </c>
      <c r="C14" s="6">
        <v>39.799999999999997</v>
      </c>
      <c r="E14" s="3" t="s">
        <v>30</v>
      </c>
      <c r="F14" s="3" t="s">
        <v>39</v>
      </c>
      <c r="G14" s="3" t="s">
        <v>38</v>
      </c>
      <c r="H14" s="3" t="s">
        <v>0</v>
      </c>
      <c r="L14" s="35"/>
    </row>
    <row r="15" spans="2:26" x14ac:dyDescent="0.2">
      <c r="B15" s="16" t="s">
        <v>21</v>
      </c>
      <c r="C15" s="6">
        <v>25</v>
      </c>
      <c r="E15" s="16" t="s">
        <v>18</v>
      </c>
      <c r="F15" s="30">
        <v>1</v>
      </c>
      <c r="G15" s="32">
        <f>'Project Details'!$C$4*(1/F15)</f>
        <v>150</v>
      </c>
      <c r="H15" s="24">
        <f>C14*G15</f>
        <v>5970</v>
      </c>
      <c r="L15" s="35"/>
    </row>
    <row r="16" spans="2:26" x14ac:dyDescent="0.2">
      <c r="B16" s="16" t="s">
        <v>19</v>
      </c>
      <c r="C16" s="6">
        <v>105</v>
      </c>
      <c r="E16" s="16" t="s">
        <v>21</v>
      </c>
      <c r="F16" s="30">
        <v>0.5</v>
      </c>
      <c r="G16" s="32">
        <f>'Project Details'!$C$4*(1/F16)</f>
        <v>300</v>
      </c>
      <c r="H16" s="24">
        <f>C15*G16</f>
        <v>7500</v>
      </c>
      <c r="L16" s="10"/>
      <c r="M16" s="10"/>
    </row>
    <row r="17" spans="2:9" x14ac:dyDescent="0.2">
      <c r="B17" s="16" t="s">
        <v>20</v>
      </c>
      <c r="C17" s="6">
        <v>240</v>
      </c>
      <c r="E17" s="16" t="s">
        <v>19</v>
      </c>
      <c r="F17" s="30">
        <v>2.5</v>
      </c>
      <c r="G17" s="32">
        <f>'Project Details'!$C$4*(1/F17)</f>
        <v>60</v>
      </c>
      <c r="H17" s="24">
        <f>C16*G17</f>
        <v>6300</v>
      </c>
    </row>
    <row r="18" spans="2:9" x14ac:dyDescent="0.2">
      <c r="B18" s="16" t="s">
        <v>24</v>
      </c>
      <c r="C18" s="6">
        <v>40</v>
      </c>
      <c r="E18" s="16" t="s">
        <v>118</v>
      </c>
      <c r="F18" s="30">
        <v>2.5</v>
      </c>
      <c r="G18" s="32">
        <f>'Project Details'!$C$4*(1/F18)</f>
        <v>60</v>
      </c>
      <c r="H18" s="24">
        <f>C18*G18</f>
        <v>2400</v>
      </c>
    </row>
    <row r="19" spans="2:9" x14ac:dyDescent="0.2">
      <c r="B19" s="16" t="s">
        <v>23</v>
      </c>
      <c r="C19" s="6">
        <v>25</v>
      </c>
      <c r="E19" s="16" t="s">
        <v>23</v>
      </c>
      <c r="F19" s="30">
        <v>1.5</v>
      </c>
      <c r="G19" s="32">
        <f>'Project Details'!$C$4*(1/F19)</f>
        <v>100</v>
      </c>
      <c r="H19" s="24">
        <f>C19*G19</f>
        <v>2500</v>
      </c>
    </row>
    <row r="20" spans="2:9" x14ac:dyDescent="0.2">
      <c r="E20" s="25" t="s">
        <v>29</v>
      </c>
      <c r="F20" s="31">
        <f>AVERAGE(F15:F19)</f>
        <v>1.6</v>
      </c>
      <c r="G20" s="33">
        <f>SUM(G15:G19)</f>
        <v>670</v>
      </c>
      <c r="H20" s="28">
        <f>SUM(H15:H19)</f>
        <v>24670</v>
      </c>
    </row>
    <row r="21" spans="2:9" x14ac:dyDescent="0.2">
      <c r="B21" s="90" t="s">
        <v>166</v>
      </c>
      <c r="C21" s="91"/>
      <c r="E21" s="29" t="s">
        <v>37</v>
      </c>
    </row>
    <row r="22" spans="2:9" ht="16" thickBot="1" x14ac:dyDescent="0.25">
      <c r="B22" s="16" t="s">
        <v>15</v>
      </c>
      <c r="C22" s="3">
        <v>2</v>
      </c>
    </row>
    <row r="23" spans="2:9" ht="16" thickBot="1" x14ac:dyDescent="0.25">
      <c r="B23" s="16" t="s">
        <v>17</v>
      </c>
      <c r="C23" s="17">
        <v>40000</v>
      </c>
      <c r="E23" s="109"/>
      <c r="F23" s="158" t="s">
        <v>181</v>
      </c>
      <c r="G23" s="159"/>
      <c r="H23" s="109"/>
    </row>
    <row r="24" spans="2:9" x14ac:dyDescent="0.2">
      <c r="B24" s="16" t="s">
        <v>195</v>
      </c>
      <c r="C24" s="17">
        <v>10000</v>
      </c>
      <c r="E24" s="112"/>
      <c r="F24" s="121" t="s">
        <v>183</v>
      </c>
      <c r="G24" s="157">
        <f>(H10+H20)/12</f>
        <v>2543.5833333333335</v>
      </c>
      <c r="H24" s="112"/>
      <c r="I24" s="104"/>
    </row>
    <row r="25" spans="2:9" ht="16" thickBot="1" x14ac:dyDescent="0.25">
      <c r="B25" s="16" t="s">
        <v>12</v>
      </c>
      <c r="C25" s="17">
        <f>SUM(C23:C24)*C22</f>
        <v>100000</v>
      </c>
      <c r="F25" s="137" t="s">
        <v>182</v>
      </c>
      <c r="G25" s="69">
        <f>C11/12</f>
        <v>3841.6666666666665</v>
      </c>
      <c r="H25" s="105"/>
      <c r="I25" s="105"/>
    </row>
    <row r="26" spans="2:9" ht="16" thickTop="1" x14ac:dyDescent="0.2">
      <c r="F26" s="121" t="s">
        <v>12</v>
      </c>
      <c r="G26" s="65">
        <f>SUM(G24:G25)</f>
        <v>6385.25</v>
      </c>
      <c r="H26" s="114"/>
      <c r="I26" s="113"/>
    </row>
    <row r="27" spans="2:9" x14ac:dyDescent="0.2">
      <c r="H27" s="114"/>
      <c r="I27" s="113"/>
    </row>
    <row r="28" spans="2:9" x14ac:dyDescent="0.2">
      <c r="H28" s="114"/>
      <c r="I28" s="113"/>
    </row>
    <row r="29" spans="2:9" x14ac:dyDescent="0.2">
      <c r="H29" s="114"/>
      <c r="I29" s="113"/>
    </row>
    <row r="30" spans="2:9" x14ac:dyDescent="0.2">
      <c r="H30" s="114"/>
      <c r="I30" s="113"/>
    </row>
    <row r="32" spans="2:9" x14ac:dyDescent="0.2">
      <c r="H32" s="113"/>
    </row>
  </sheetData>
  <mergeCells count="6">
    <mergeCell ref="B21:C21"/>
    <mergeCell ref="B2:C2"/>
    <mergeCell ref="M1:P1"/>
    <mergeCell ref="E2:H2"/>
    <mergeCell ref="E13:H13"/>
    <mergeCell ref="F23:G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4204-3640-4240-8328-E971BD5A440A}">
  <dimension ref="A1:K21"/>
  <sheetViews>
    <sheetView workbookViewId="0">
      <selection activeCell="C13" sqref="C13"/>
    </sheetView>
  </sheetViews>
  <sheetFormatPr baseColWidth="10" defaultColWidth="8.83203125" defaultRowHeight="15" x14ac:dyDescent="0.2"/>
  <cols>
    <col min="1" max="1" width="23.6640625" customWidth="1"/>
    <col min="2" max="2" width="22.1640625" customWidth="1"/>
    <col min="3" max="3" width="26" customWidth="1"/>
    <col min="4" max="4" width="13.5" customWidth="1"/>
    <col min="7" max="7" width="16.5" customWidth="1"/>
    <col min="8" max="8" width="10.5" customWidth="1"/>
  </cols>
  <sheetData>
    <row r="1" spans="1:11" ht="16" thickBot="1" x14ac:dyDescent="0.25">
      <c r="A1" s="142" t="s">
        <v>131</v>
      </c>
      <c r="B1" s="142" t="s">
        <v>132</v>
      </c>
      <c r="C1" s="142" t="s">
        <v>133</v>
      </c>
      <c r="D1" s="142" t="s">
        <v>138</v>
      </c>
      <c r="G1" s="123" t="s">
        <v>160</v>
      </c>
      <c r="H1" s="123"/>
      <c r="I1" s="112"/>
      <c r="J1" s="112"/>
      <c r="K1" s="112"/>
    </row>
    <row r="2" spans="1:11" x14ac:dyDescent="0.2">
      <c r="A2" s="121" t="s">
        <v>136</v>
      </c>
      <c r="B2" s="61">
        <v>12</v>
      </c>
      <c r="C2" s="138" t="s">
        <v>148</v>
      </c>
      <c r="D2" s="138" t="s">
        <v>141</v>
      </c>
      <c r="G2" s="121" t="s">
        <v>161</v>
      </c>
      <c r="H2" s="122">
        <f>($B$5/365)*30*B14</f>
        <v>34619.178082191778</v>
      </c>
    </row>
    <row r="3" spans="1:11" x14ac:dyDescent="0.2">
      <c r="A3" s="1" t="s">
        <v>135</v>
      </c>
      <c r="B3" s="2">
        <v>9</v>
      </c>
      <c r="C3" s="1" t="s">
        <v>140</v>
      </c>
      <c r="D3" s="1" t="s">
        <v>139</v>
      </c>
      <c r="E3" s="115"/>
      <c r="G3" s="1" t="s">
        <v>162</v>
      </c>
      <c r="H3" s="120">
        <f>($B$5/365)*30*B15</f>
        <v>25964.383561643834</v>
      </c>
    </row>
    <row r="4" spans="1:11" x14ac:dyDescent="0.2">
      <c r="A4" s="1" t="s">
        <v>143</v>
      </c>
      <c r="B4" s="2">
        <v>5</v>
      </c>
      <c r="C4" s="1" t="s">
        <v>151</v>
      </c>
      <c r="D4" s="1" t="s">
        <v>139</v>
      </c>
      <c r="E4" s="115"/>
      <c r="G4" s="1" t="s">
        <v>163</v>
      </c>
      <c r="H4" s="120">
        <f>H3/B17</f>
        <v>216.36986301369862</v>
      </c>
    </row>
    <row r="5" spans="1:11" x14ac:dyDescent="0.2">
      <c r="A5" s="119" t="s">
        <v>159</v>
      </c>
      <c r="B5" s="2">
        <f>ROUND(B3*4.33*B4,0)</f>
        <v>195</v>
      </c>
      <c r="C5" s="119" t="s">
        <v>146</v>
      </c>
      <c r="D5" s="1"/>
    </row>
    <row r="6" spans="1:11" x14ac:dyDescent="0.2">
      <c r="A6" s="1" t="s">
        <v>145</v>
      </c>
      <c r="B6" s="2">
        <v>5</v>
      </c>
      <c r="C6" s="1" t="s">
        <v>147</v>
      </c>
      <c r="D6" s="1" t="s">
        <v>144</v>
      </c>
    </row>
    <row r="7" spans="1:11" x14ac:dyDescent="0.2">
      <c r="A7" s="1" t="s">
        <v>134</v>
      </c>
      <c r="B7" s="2">
        <v>12000</v>
      </c>
      <c r="C7" s="1" t="s">
        <v>142</v>
      </c>
      <c r="D7" s="1" t="s">
        <v>139</v>
      </c>
    </row>
    <row r="8" spans="1:11" x14ac:dyDescent="0.2">
      <c r="A8" s="1" t="s">
        <v>137</v>
      </c>
      <c r="B8" s="118">
        <v>0.6</v>
      </c>
      <c r="C8" s="117" t="s">
        <v>156</v>
      </c>
      <c r="D8" s="117" t="s">
        <v>139</v>
      </c>
    </row>
    <row r="9" spans="1:11" x14ac:dyDescent="0.2">
      <c r="A9" s="1" t="s">
        <v>59</v>
      </c>
      <c r="B9" s="118">
        <v>0.2</v>
      </c>
      <c r="C9" s="117" t="s">
        <v>155</v>
      </c>
      <c r="D9" s="117" t="s">
        <v>141</v>
      </c>
    </row>
    <row r="10" spans="1:11" x14ac:dyDescent="0.2">
      <c r="A10" s="1" t="s">
        <v>149</v>
      </c>
      <c r="B10" s="2">
        <v>0.75</v>
      </c>
      <c r="C10" s="117" t="s">
        <v>154</v>
      </c>
      <c r="D10" s="1" t="s">
        <v>141</v>
      </c>
    </row>
    <row r="11" spans="1:11" x14ac:dyDescent="0.2">
      <c r="A11" s="1" t="s">
        <v>168</v>
      </c>
      <c r="B11" s="2">
        <v>1.5</v>
      </c>
      <c r="C11" s="117" t="s">
        <v>150</v>
      </c>
      <c r="D11" s="117" t="s">
        <v>158</v>
      </c>
    </row>
    <row r="13" spans="1:11" x14ac:dyDescent="0.2">
      <c r="A13" s="1" t="s">
        <v>199</v>
      </c>
      <c r="B13" s="2">
        <f>B7*B8*B9</f>
        <v>1440</v>
      </c>
    </row>
    <row r="14" spans="1:11" x14ac:dyDescent="0.2">
      <c r="A14" s="1" t="s">
        <v>152</v>
      </c>
      <c r="B14" s="2">
        <f>B13*B11</f>
        <v>2160</v>
      </c>
    </row>
    <row r="15" spans="1:11" x14ac:dyDescent="0.2">
      <c r="A15" s="1" t="s">
        <v>153</v>
      </c>
      <c r="B15" s="3">
        <f>B10*B14</f>
        <v>1620</v>
      </c>
    </row>
    <row r="17" spans="1:2" x14ac:dyDescent="0.2">
      <c r="A17" s="1" t="s">
        <v>170</v>
      </c>
      <c r="B17" s="60">
        <f>'Project Details'!C4*0.8</f>
        <v>120</v>
      </c>
    </row>
    <row r="19" spans="1:2" ht="16" thickBot="1" x14ac:dyDescent="0.25">
      <c r="A19" s="129" t="s">
        <v>157</v>
      </c>
      <c r="B19" s="130">
        <f>B15/B17</f>
        <v>13.5</v>
      </c>
    </row>
    <row r="20" spans="1:2" ht="16" thickTop="1" x14ac:dyDescent="0.2">
      <c r="A20" s="128" t="s">
        <v>167</v>
      </c>
      <c r="B20" s="61">
        <f>'Project Details'!C9</f>
        <v>18</v>
      </c>
    </row>
    <row r="21" spans="1:2" x14ac:dyDescent="0.2">
      <c r="A21" s="119" t="s">
        <v>169</v>
      </c>
      <c r="B21" s="4">
        <f>B19/B20</f>
        <v>0.75</v>
      </c>
    </row>
  </sheetData>
  <mergeCells count="1"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BBF3A-FA6F-A348-BB03-31C01C24E9CD}">
  <dimension ref="B2:K9"/>
  <sheetViews>
    <sheetView zoomScale="150" workbookViewId="0">
      <selection activeCell="C10" sqref="C10"/>
    </sheetView>
  </sheetViews>
  <sheetFormatPr baseColWidth="10" defaultRowHeight="15" x14ac:dyDescent="0.2"/>
  <cols>
    <col min="3" max="3" width="13" customWidth="1"/>
    <col min="4" max="4" width="11" bestFit="1" customWidth="1"/>
    <col min="5" max="5" width="11.1640625" bestFit="1" customWidth="1"/>
    <col min="6" max="6" width="12.6640625" customWidth="1"/>
    <col min="8" max="8" width="16.6640625" customWidth="1"/>
    <col min="9" max="9" width="13.1640625" customWidth="1"/>
  </cols>
  <sheetData>
    <row r="2" spans="2:11" ht="16" thickBot="1" x14ac:dyDescent="0.25">
      <c r="B2" s="160" t="s">
        <v>201</v>
      </c>
      <c r="C2" s="160"/>
      <c r="D2" s="160"/>
      <c r="E2" s="160"/>
      <c r="F2" s="160"/>
      <c r="I2" s="163" t="s">
        <v>204</v>
      </c>
      <c r="J2" s="163"/>
      <c r="K2" s="109"/>
    </row>
    <row r="3" spans="2:11" x14ac:dyDescent="0.2">
      <c r="B3" s="121" t="s">
        <v>196</v>
      </c>
      <c r="C3" s="121" t="s">
        <v>199</v>
      </c>
      <c r="D3" s="121" t="s">
        <v>200</v>
      </c>
      <c r="E3" s="121" t="s">
        <v>202</v>
      </c>
      <c r="F3" s="164" t="s">
        <v>206</v>
      </c>
      <c r="I3" s="121" t="s">
        <v>41</v>
      </c>
      <c r="J3" s="121" t="s">
        <v>203</v>
      </c>
    </row>
    <row r="4" spans="2:11" x14ac:dyDescent="0.2">
      <c r="B4" s="1" t="s">
        <v>208</v>
      </c>
      <c r="C4" s="1">
        <f>Usability!B7*Usability!B8*0.12</f>
        <v>864</v>
      </c>
      <c r="D4" s="12">
        <v>210</v>
      </c>
      <c r="E4" s="12">
        <f>C4*D4</f>
        <v>181440</v>
      </c>
      <c r="F4" s="167">
        <v>31601.586636035543</v>
      </c>
      <c r="I4" s="1">
        <v>0</v>
      </c>
      <c r="J4" s="12">
        <f>$E$5*('Project Details'!$F$5+1)^I4</f>
        <v>226800</v>
      </c>
    </row>
    <row r="5" spans="2:11" x14ac:dyDescent="0.2">
      <c r="B5" s="1" t="s">
        <v>197</v>
      </c>
      <c r="C5" s="1">
        <f>Usability!B7*Usability!B8*0.15</f>
        <v>1080</v>
      </c>
      <c r="D5" s="12">
        <v>210</v>
      </c>
      <c r="E5" s="12">
        <f t="shared" ref="E5:E6" si="0">C5*D5</f>
        <v>226800</v>
      </c>
      <c r="F5" s="168">
        <v>289956.44340686884</v>
      </c>
      <c r="I5" s="1">
        <v>1</v>
      </c>
      <c r="J5" s="12">
        <f>$E$5*('Project Details'!$F$5+1)^I5</f>
        <v>234737.99999999997</v>
      </c>
    </row>
    <row r="6" spans="2:11" x14ac:dyDescent="0.2">
      <c r="B6" s="1" t="s">
        <v>198</v>
      </c>
      <c r="C6" s="1">
        <f>Usability!B13</f>
        <v>1440</v>
      </c>
      <c r="D6" s="12">
        <v>210</v>
      </c>
      <c r="E6" s="12">
        <f t="shared" si="0"/>
        <v>302400</v>
      </c>
      <c r="F6" s="168">
        <v>588058.20121936908</v>
      </c>
      <c r="I6" s="1">
        <v>2</v>
      </c>
      <c r="J6" s="12">
        <f>$E$5*('Project Details'!$F$5+1)^I6</f>
        <v>242953.82999999996</v>
      </c>
    </row>
    <row r="7" spans="2:11" x14ac:dyDescent="0.2">
      <c r="I7" s="1">
        <v>3</v>
      </c>
      <c r="J7" s="12">
        <f>$E$5*('Project Details'!$F$5+1)^I7</f>
        <v>251457.21404999995</v>
      </c>
    </row>
    <row r="8" spans="2:11" x14ac:dyDescent="0.2">
      <c r="I8" s="1">
        <v>4</v>
      </c>
      <c r="J8" s="12">
        <f>$E$5*('Project Details'!$F$5+1)^I8</f>
        <v>260258.21654174992</v>
      </c>
    </row>
    <row r="9" spans="2:11" x14ac:dyDescent="0.2">
      <c r="I9" s="1">
        <v>5</v>
      </c>
      <c r="J9" s="12">
        <f>$E$5*('Project Details'!$F$5+1)^I9</f>
        <v>269367.25412071112</v>
      </c>
    </row>
  </sheetData>
  <mergeCells count="2">
    <mergeCell ref="I2:J2"/>
    <mergeCell ref="B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074C4-8626-9345-9BAD-7A9BA375AB18}">
  <dimension ref="A1:B11"/>
  <sheetViews>
    <sheetView zoomScale="219" workbookViewId="0">
      <selection activeCell="B12" sqref="B12"/>
    </sheetView>
  </sheetViews>
  <sheetFormatPr baseColWidth="10" defaultRowHeight="15" x14ac:dyDescent="0.2"/>
  <cols>
    <col min="1" max="1" width="25" customWidth="1"/>
    <col min="2" max="2" width="17.6640625" customWidth="1"/>
  </cols>
  <sheetData>
    <row r="1" spans="1:2" ht="16" thickBot="1" x14ac:dyDescent="0.25">
      <c r="A1" s="161" t="s">
        <v>131</v>
      </c>
      <c r="B1" s="162" t="s">
        <v>179</v>
      </c>
    </row>
    <row r="2" spans="1:2" x14ac:dyDescent="0.2">
      <c r="A2" s="138" t="s">
        <v>172</v>
      </c>
      <c r="B2" s="139">
        <f>Usability!H3</f>
        <v>25964.383561643834</v>
      </c>
    </row>
    <row r="3" spans="1:2" x14ac:dyDescent="0.2">
      <c r="A3" s="117" t="s">
        <v>171</v>
      </c>
      <c r="B3" s="117">
        <f>'Project Details'!C9</f>
        <v>18</v>
      </c>
    </row>
    <row r="4" spans="1:2" x14ac:dyDescent="0.2">
      <c r="A4" s="117" t="s">
        <v>173</v>
      </c>
      <c r="B4" s="135">
        <f>B2/B3</f>
        <v>1442.4657534246574</v>
      </c>
    </row>
    <row r="5" spans="1:2" x14ac:dyDescent="0.2">
      <c r="A5" s="117" t="s">
        <v>174</v>
      </c>
      <c r="B5" s="117">
        <v>0.24299999999999999</v>
      </c>
    </row>
    <row r="6" spans="1:2" x14ac:dyDescent="0.2">
      <c r="A6" s="117" t="s">
        <v>175</v>
      </c>
      <c r="B6" s="135">
        <f>B4*B5</f>
        <v>350.51917808219173</v>
      </c>
    </row>
    <row r="7" spans="1:2" x14ac:dyDescent="0.2">
      <c r="A7" s="117" t="s">
        <v>176</v>
      </c>
      <c r="B7" s="136">
        <v>0.4</v>
      </c>
    </row>
    <row r="8" spans="1:2" x14ac:dyDescent="0.2">
      <c r="A8" s="117" t="s">
        <v>177</v>
      </c>
      <c r="B8" s="45">
        <v>0.25</v>
      </c>
    </row>
    <row r="10" spans="1:2" ht="16" thickBot="1" x14ac:dyDescent="0.25">
      <c r="A10" s="137" t="s">
        <v>178</v>
      </c>
      <c r="B10" s="69">
        <f>B6*B7*(1+B8)</f>
        <v>175.25958904109586</v>
      </c>
    </row>
    <row r="11" spans="1:2" ht="16" thickTop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3E13E-C864-5148-B7A1-8D00F8AC3CFB}">
  <dimension ref="A1:H24"/>
  <sheetViews>
    <sheetView topLeftCell="A2" zoomScale="165" workbookViewId="0">
      <selection activeCell="H24" sqref="H24"/>
    </sheetView>
  </sheetViews>
  <sheetFormatPr baseColWidth="10" defaultRowHeight="15" x14ac:dyDescent="0.2"/>
  <cols>
    <col min="1" max="2" width="18.83203125" customWidth="1"/>
    <col min="4" max="4" width="19.5" customWidth="1"/>
    <col min="5" max="5" width="20.5" customWidth="1"/>
  </cols>
  <sheetData>
    <row r="1" spans="1:8" x14ac:dyDescent="0.2">
      <c r="A1" s="108" t="s">
        <v>188</v>
      </c>
      <c r="B1" s="108"/>
      <c r="C1" s="108"/>
      <c r="D1" s="108"/>
      <c r="E1" s="108"/>
      <c r="F1" s="108"/>
      <c r="G1" s="108"/>
      <c r="H1" s="108"/>
    </row>
    <row r="2" spans="1:8" x14ac:dyDescent="0.2">
      <c r="A2" s="2" t="s">
        <v>96</v>
      </c>
      <c r="B2" s="2" t="s">
        <v>119</v>
      </c>
      <c r="C2" s="2" t="s">
        <v>98</v>
      </c>
      <c r="D2" s="2" t="s">
        <v>115</v>
      </c>
      <c r="E2" s="2" t="s">
        <v>116</v>
      </c>
      <c r="F2" s="1" t="s">
        <v>101</v>
      </c>
      <c r="G2" s="1" t="s">
        <v>100</v>
      </c>
      <c r="H2" s="1" t="s">
        <v>12</v>
      </c>
    </row>
    <row r="3" spans="1:8" x14ac:dyDescent="0.2">
      <c r="A3" s="2" t="s">
        <v>95</v>
      </c>
      <c r="B3" s="2" t="s">
        <v>120</v>
      </c>
      <c r="C3" s="60">
        <f>'Project Details'!C4</f>
        <v>150</v>
      </c>
      <c r="D3" s="66">
        <v>38</v>
      </c>
      <c r="E3" s="66">
        <f t="shared" ref="E3:E12" si="0">C3*D3</f>
        <v>5700</v>
      </c>
      <c r="F3" s="12">
        <v>0.42</v>
      </c>
      <c r="G3" s="12">
        <v>0</v>
      </c>
      <c r="H3" s="12">
        <f>F3*E3+G3</f>
        <v>2394</v>
      </c>
    </row>
    <row r="4" spans="1:8" x14ac:dyDescent="0.2">
      <c r="A4" s="57" t="s">
        <v>103</v>
      </c>
      <c r="B4" s="2" t="s">
        <v>120</v>
      </c>
      <c r="C4" s="60">
        <f>'Project Details'!G11</f>
        <v>6</v>
      </c>
      <c r="D4" s="66">
        <v>8</v>
      </c>
      <c r="E4" s="66">
        <f t="shared" si="0"/>
        <v>48</v>
      </c>
      <c r="F4" s="12">
        <v>0.42</v>
      </c>
      <c r="G4" s="12">
        <v>0</v>
      </c>
      <c r="H4" s="12">
        <f>F4*E4+G4</f>
        <v>20.16</v>
      </c>
    </row>
    <row r="5" spans="1:8" x14ac:dyDescent="0.2">
      <c r="A5" s="57" t="s">
        <v>104</v>
      </c>
      <c r="B5" s="2" t="s">
        <v>120</v>
      </c>
      <c r="C5" s="60">
        <f>'Project Details'!G12</f>
        <v>9</v>
      </c>
      <c r="D5" s="66">
        <v>1</v>
      </c>
      <c r="E5" s="66">
        <f t="shared" si="0"/>
        <v>9</v>
      </c>
      <c r="F5" s="12">
        <v>0.42</v>
      </c>
      <c r="G5" s="12">
        <v>0</v>
      </c>
      <c r="H5" s="12">
        <f t="shared" ref="H5:H12" si="1">F5*E5+G5</f>
        <v>3.78</v>
      </c>
    </row>
    <row r="6" spans="1:8" x14ac:dyDescent="0.2">
      <c r="A6" s="57" t="s">
        <v>105</v>
      </c>
      <c r="B6" s="2" t="s">
        <v>120</v>
      </c>
      <c r="C6" s="60">
        <f>'Project Details'!G13</f>
        <v>6</v>
      </c>
      <c r="D6" s="103">
        <v>5</v>
      </c>
      <c r="E6" s="66">
        <f t="shared" si="0"/>
        <v>30</v>
      </c>
      <c r="F6" s="12">
        <v>0.42</v>
      </c>
      <c r="G6" s="12">
        <v>0</v>
      </c>
      <c r="H6" s="12">
        <f t="shared" si="1"/>
        <v>12.6</v>
      </c>
    </row>
    <row r="7" spans="1:8" x14ac:dyDescent="0.2">
      <c r="A7" s="57" t="s">
        <v>106</v>
      </c>
      <c r="B7" s="2" t="s">
        <v>120</v>
      </c>
      <c r="C7" s="60">
        <f>'Project Details'!G14</f>
        <v>2</v>
      </c>
      <c r="D7" s="66">
        <v>20</v>
      </c>
      <c r="E7" s="66">
        <f t="shared" si="0"/>
        <v>40</v>
      </c>
      <c r="F7" s="12">
        <v>0.42</v>
      </c>
      <c r="G7" s="12">
        <v>0</v>
      </c>
      <c r="H7" s="12">
        <f t="shared" si="1"/>
        <v>16.8</v>
      </c>
    </row>
    <row r="8" spans="1:8" x14ac:dyDescent="0.2">
      <c r="A8" s="57" t="s">
        <v>117</v>
      </c>
      <c r="B8" s="2" t="s">
        <v>120</v>
      </c>
      <c r="C8" s="60">
        <f>'Project Details'!G15</f>
        <v>5</v>
      </c>
      <c r="D8" s="66">
        <v>3.5</v>
      </c>
      <c r="E8" s="66">
        <f t="shared" si="0"/>
        <v>17.5</v>
      </c>
      <c r="F8" s="12">
        <v>0.42</v>
      </c>
      <c r="G8" s="12">
        <v>0</v>
      </c>
      <c r="H8" s="12">
        <f t="shared" si="1"/>
        <v>7.35</v>
      </c>
    </row>
    <row r="9" spans="1:8" ht="16" thickBot="1" x14ac:dyDescent="0.25">
      <c r="A9" s="62" t="s">
        <v>108</v>
      </c>
      <c r="B9" s="63" t="s">
        <v>120</v>
      </c>
      <c r="C9" s="101">
        <f>'Project Details'!G16</f>
        <v>9</v>
      </c>
      <c r="D9" s="67">
        <v>0.5</v>
      </c>
      <c r="E9" s="67">
        <f t="shared" si="0"/>
        <v>4.5</v>
      </c>
      <c r="F9" s="64">
        <v>0.42</v>
      </c>
      <c r="G9" s="64">
        <v>100</v>
      </c>
      <c r="H9" s="64">
        <f t="shared" si="1"/>
        <v>101.89</v>
      </c>
    </row>
    <row r="10" spans="1:8" x14ac:dyDescent="0.2">
      <c r="A10" s="61" t="s">
        <v>97</v>
      </c>
      <c r="B10" s="58" t="s">
        <v>122</v>
      </c>
      <c r="C10" s="99">
        <f>'Project Details'!C4</f>
        <v>150</v>
      </c>
      <c r="D10" s="68">
        <v>1</v>
      </c>
      <c r="E10" s="68">
        <f t="shared" si="0"/>
        <v>150</v>
      </c>
      <c r="F10" s="65">
        <v>0.42</v>
      </c>
      <c r="G10" s="65">
        <v>100</v>
      </c>
      <c r="H10" s="65">
        <f t="shared" si="1"/>
        <v>163</v>
      </c>
    </row>
    <row r="11" spans="1:8" ht="16" thickBot="1" x14ac:dyDescent="0.25">
      <c r="A11" s="63" t="s">
        <v>99</v>
      </c>
      <c r="B11" s="62" t="s">
        <v>122</v>
      </c>
      <c r="C11" s="98">
        <f>'Project Details'!C21</f>
        <v>6</v>
      </c>
      <c r="D11" s="67">
        <v>450</v>
      </c>
      <c r="E11" s="67">
        <f t="shared" si="0"/>
        <v>2700</v>
      </c>
      <c r="F11" s="64">
        <v>0.42</v>
      </c>
      <c r="G11" s="64">
        <v>250</v>
      </c>
      <c r="H11" s="64">
        <f t="shared" si="1"/>
        <v>1384</v>
      </c>
    </row>
    <row r="12" spans="1:8" ht="16" thickBot="1" x14ac:dyDescent="0.25">
      <c r="A12" s="70" t="s">
        <v>63</v>
      </c>
      <c r="B12" s="71" t="s">
        <v>121</v>
      </c>
      <c r="C12" s="100">
        <f>'Project Details'!C4</f>
        <v>150</v>
      </c>
      <c r="D12" s="72">
        <v>0.5</v>
      </c>
      <c r="E12" s="68">
        <f t="shared" si="0"/>
        <v>75</v>
      </c>
      <c r="F12" s="73">
        <v>0.42</v>
      </c>
      <c r="G12" s="73">
        <v>100</v>
      </c>
      <c r="H12" s="73">
        <f t="shared" si="1"/>
        <v>131.5</v>
      </c>
    </row>
    <row r="13" spans="1:8" ht="17" thickTop="1" thickBot="1" x14ac:dyDescent="0.25">
      <c r="A13" s="74" t="s">
        <v>12</v>
      </c>
      <c r="B13" s="76"/>
      <c r="C13" s="77">
        <f>SUM(C3:C12)</f>
        <v>493</v>
      </c>
      <c r="D13" s="77"/>
      <c r="E13" s="77">
        <f>SUM(E1:E3)</f>
        <v>5700</v>
      </c>
      <c r="F13" s="76"/>
      <c r="G13" s="76"/>
      <c r="H13" s="75">
        <f>SUM(H3:H12)</f>
        <v>4235.08</v>
      </c>
    </row>
    <row r="15" spans="1:8" x14ac:dyDescent="0.2">
      <c r="D15" s="102"/>
    </row>
    <row r="16" spans="1:8" x14ac:dyDescent="0.2">
      <c r="A16" s="108" t="s">
        <v>187</v>
      </c>
      <c r="B16" s="108"/>
      <c r="C16" s="108"/>
      <c r="D16" s="108"/>
      <c r="E16" s="108"/>
      <c r="F16" s="108"/>
      <c r="G16" s="108"/>
      <c r="H16" s="108"/>
    </row>
    <row r="17" spans="1:8" x14ac:dyDescent="0.2">
      <c r="A17" s="2" t="s">
        <v>96</v>
      </c>
      <c r="B17" s="2" t="s">
        <v>119</v>
      </c>
      <c r="C17" s="2" t="s">
        <v>98</v>
      </c>
      <c r="D17" s="2" t="s">
        <v>115</v>
      </c>
      <c r="E17" s="2" t="s">
        <v>116</v>
      </c>
      <c r="F17" s="1" t="s">
        <v>101</v>
      </c>
      <c r="G17" s="1" t="s">
        <v>100</v>
      </c>
      <c r="H17" s="1" t="s">
        <v>12</v>
      </c>
    </row>
    <row r="18" spans="1:8" x14ac:dyDescent="0.2">
      <c r="A18" s="57" t="s">
        <v>103</v>
      </c>
      <c r="B18" s="2" t="s">
        <v>120</v>
      </c>
      <c r="C18" s="60">
        <f>(Maintenance!G4+Maintenance!G15)/12</f>
        <v>14.375</v>
      </c>
      <c r="D18" s="66">
        <v>8</v>
      </c>
      <c r="E18" s="66">
        <f t="shared" ref="E18:E23" si="2">C18*D18</f>
        <v>115</v>
      </c>
      <c r="F18" s="12">
        <v>0.42</v>
      </c>
      <c r="G18" s="12">
        <v>0</v>
      </c>
      <c r="H18" s="12">
        <f>F18*E18+G18</f>
        <v>48.3</v>
      </c>
    </row>
    <row r="19" spans="1:8" x14ac:dyDescent="0.2">
      <c r="A19" s="57" t="s">
        <v>104</v>
      </c>
      <c r="B19" s="2" t="s">
        <v>120</v>
      </c>
      <c r="C19" s="60">
        <f>(Maintenance!G5+Maintenance!G16)/12</f>
        <v>27.625</v>
      </c>
      <c r="D19" s="66">
        <v>1</v>
      </c>
      <c r="E19" s="66">
        <f t="shared" si="2"/>
        <v>27.625</v>
      </c>
      <c r="F19" s="12">
        <v>0.42</v>
      </c>
      <c r="G19" s="12">
        <v>0</v>
      </c>
      <c r="H19" s="12">
        <f t="shared" ref="H19:H23" si="3">F19*E19+G19</f>
        <v>11.602499999999999</v>
      </c>
    </row>
    <row r="20" spans="1:8" x14ac:dyDescent="0.2">
      <c r="A20" s="57" t="s">
        <v>105</v>
      </c>
      <c r="B20" s="2" t="s">
        <v>120</v>
      </c>
      <c r="C20" s="60">
        <f>(Maintenance!G6+Maintenance!G17)/12</f>
        <v>6.875</v>
      </c>
      <c r="D20" s="103">
        <v>5</v>
      </c>
      <c r="E20" s="66">
        <f t="shared" si="2"/>
        <v>34.375</v>
      </c>
      <c r="F20" s="12">
        <v>0.42</v>
      </c>
      <c r="G20" s="12">
        <v>0</v>
      </c>
      <c r="H20" s="12">
        <f t="shared" si="3"/>
        <v>14.4375</v>
      </c>
    </row>
    <row r="21" spans="1:8" x14ac:dyDescent="0.2">
      <c r="A21" s="57" t="s">
        <v>106</v>
      </c>
      <c r="B21" s="2" t="s">
        <v>120</v>
      </c>
      <c r="C21" s="60">
        <f>(Maintenance!G7+Maintenance!G18)/12</f>
        <v>5.125</v>
      </c>
      <c r="D21" s="66">
        <v>20</v>
      </c>
      <c r="E21" s="66">
        <f t="shared" si="2"/>
        <v>102.5</v>
      </c>
      <c r="F21" s="12">
        <v>0.42</v>
      </c>
      <c r="G21" s="12">
        <v>0</v>
      </c>
      <c r="H21" s="12">
        <f t="shared" si="3"/>
        <v>43.05</v>
      </c>
    </row>
    <row r="22" spans="1:8" x14ac:dyDescent="0.2">
      <c r="A22" s="57" t="s">
        <v>117</v>
      </c>
      <c r="B22" s="2" t="s">
        <v>120</v>
      </c>
      <c r="C22" s="60">
        <f>(Maintenance!G8+Maintenance!G19)/12</f>
        <v>9.7083333333333339</v>
      </c>
      <c r="D22" s="66">
        <v>3.5</v>
      </c>
      <c r="E22" s="66">
        <f t="shared" si="2"/>
        <v>33.979166666666671</v>
      </c>
      <c r="F22" s="12">
        <v>0.42</v>
      </c>
      <c r="G22" s="12">
        <v>0</v>
      </c>
      <c r="H22" s="12">
        <f t="shared" si="3"/>
        <v>14.271250000000002</v>
      </c>
    </row>
    <row r="23" spans="1:8" ht="16" thickBot="1" x14ac:dyDescent="0.25">
      <c r="A23" s="143" t="s">
        <v>108</v>
      </c>
      <c r="B23" s="144" t="s">
        <v>120</v>
      </c>
      <c r="C23" s="145">
        <f>(Maintenance!G9+Maintenance!G20)/12</f>
        <v>58.458333333333336</v>
      </c>
      <c r="D23" s="146">
        <v>0.5</v>
      </c>
      <c r="E23" s="146">
        <f t="shared" si="2"/>
        <v>29.229166666666668</v>
      </c>
      <c r="F23" s="69">
        <v>0.42</v>
      </c>
      <c r="G23" s="69">
        <v>100</v>
      </c>
      <c r="H23" s="69">
        <f t="shared" si="3"/>
        <v>112.27625</v>
      </c>
    </row>
    <row r="24" spans="1:8" ht="17" thickTop="1" thickBot="1" x14ac:dyDescent="0.25">
      <c r="A24" s="147" t="s">
        <v>12</v>
      </c>
      <c r="B24" s="76"/>
      <c r="C24" s="77">
        <f>SUM(C18:C23)</f>
        <v>122.16666666666667</v>
      </c>
      <c r="D24" s="76"/>
      <c r="E24" s="148">
        <f>SUM(E18:E23)</f>
        <v>342.70833333333337</v>
      </c>
      <c r="F24" s="76"/>
      <c r="G24" s="76"/>
      <c r="H24" s="149">
        <f>SUM(H18:H23)</f>
        <v>243.9375</v>
      </c>
    </row>
  </sheetData>
  <mergeCells count="2">
    <mergeCell ref="A1:H1"/>
    <mergeCell ref="A16:H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C8317-0DC3-294B-AFEB-B644E4633F11}">
  <dimension ref="B1:N64"/>
  <sheetViews>
    <sheetView zoomScale="106" zoomScaleNormal="63" workbookViewId="0">
      <selection activeCell="I63" sqref="I63"/>
    </sheetView>
  </sheetViews>
  <sheetFormatPr baseColWidth="10" defaultRowHeight="15" x14ac:dyDescent="0.2"/>
  <cols>
    <col min="2" max="2" width="27.5" customWidth="1"/>
    <col min="3" max="3" width="20.83203125" customWidth="1"/>
    <col min="4" max="4" width="27.1640625" customWidth="1"/>
    <col min="5" max="5" width="25.5" customWidth="1"/>
  </cols>
  <sheetData>
    <row r="1" spans="2:14" x14ac:dyDescent="0.2">
      <c r="B1" s="87" t="s">
        <v>10</v>
      </c>
      <c r="C1" s="87"/>
      <c r="F1" s="9"/>
      <c r="G1" s="80" t="s">
        <v>13</v>
      </c>
      <c r="H1" s="81"/>
      <c r="I1" s="10"/>
      <c r="J1" s="80" t="s">
        <v>125</v>
      </c>
      <c r="K1" s="81"/>
      <c r="L1" s="10"/>
      <c r="M1" s="80" t="s">
        <v>14</v>
      </c>
      <c r="N1" s="81"/>
    </row>
    <row r="2" spans="2:14" x14ac:dyDescent="0.2">
      <c r="B2" s="3" t="s">
        <v>89</v>
      </c>
      <c r="C2" s="11">
        <f>'Project Details'!C3*'Project Details'!C4*(1-'Project Details'!F3)</f>
        <v>40500</v>
      </c>
      <c r="G2" s="1" t="s">
        <v>11</v>
      </c>
      <c r="H2" s="1" t="s">
        <v>9</v>
      </c>
      <c r="J2" s="1" t="s">
        <v>11</v>
      </c>
      <c r="K2" s="1" t="s">
        <v>9</v>
      </c>
      <c r="M2" s="1" t="s">
        <v>11</v>
      </c>
      <c r="N2" s="1" t="s">
        <v>9</v>
      </c>
    </row>
    <row r="3" spans="2:14" x14ac:dyDescent="0.2">
      <c r="B3" s="2" t="s">
        <v>91</v>
      </c>
      <c r="C3" s="12">
        <f>'Project Details'!F7*'Project Details'!C4*SUM('Project Details'!C35:C36)</f>
        <v>22500</v>
      </c>
      <c r="F3" s="8"/>
      <c r="G3" s="1">
        <v>0</v>
      </c>
      <c r="H3" s="12">
        <f>--'CR Finance Options'!C10*0.25</f>
        <v>73158.47</v>
      </c>
      <c r="J3" s="1">
        <v>0</v>
      </c>
      <c r="K3" s="12">
        <f>'CR Finance Options'!C10*0.25</f>
        <v>73158.47</v>
      </c>
      <c r="M3" s="1">
        <v>0</v>
      </c>
      <c r="N3" s="12">
        <f>0.25*'CR Finance Options'!C10</f>
        <v>73158.47</v>
      </c>
    </row>
    <row r="4" spans="2:14" x14ac:dyDescent="0.2">
      <c r="B4" s="3" t="s">
        <v>67</v>
      </c>
      <c r="C4" s="12">
        <f>'Project Details'!C17+'Project Details'!C16*'Project Details'!C4</f>
        <v>16000</v>
      </c>
      <c r="F4" s="8"/>
      <c r="G4" s="1">
        <v>1</v>
      </c>
      <c r="H4" s="13">
        <f>'CR Finance Options'!$D$18</f>
        <v>4345.8761681346159</v>
      </c>
      <c r="J4" s="1">
        <v>1</v>
      </c>
      <c r="K4" s="13">
        <f>'CR Finance Options'!$D$17</f>
        <v>6676.8671951744136</v>
      </c>
      <c r="M4" s="1">
        <v>1</v>
      </c>
      <c r="N4" s="13">
        <f>'CR Finance Options'!$D$16</f>
        <v>18788.737164591359</v>
      </c>
    </row>
    <row r="5" spans="2:14" x14ac:dyDescent="0.2">
      <c r="B5" s="2" t="s">
        <v>92</v>
      </c>
      <c r="C5" s="12">
        <f>'Project Details'!C21*SUM('Project Details'!C23:C24)+'Project Details'!C22*'Project Details'!C4</f>
        <v>106500</v>
      </c>
      <c r="F5" s="8"/>
      <c r="G5" s="1">
        <v>2</v>
      </c>
      <c r="H5" s="13">
        <f>'CR Finance Options'!$D$18</f>
        <v>4345.8761681346159</v>
      </c>
      <c r="J5" s="1">
        <v>2</v>
      </c>
      <c r="K5" s="13">
        <f>'CR Finance Options'!$D$17</f>
        <v>6676.8671951744136</v>
      </c>
      <c r="M5" s="1">
        <v>2</v>
      </c>
      <c r="N5" s="13">
        <f>'CR Finance Options'!$D$16</f>
        <v>18788.737164591359</v>
      </c>
    </row>
    <row r="6" spans="2:14" x14ac:dyDescent="0.2">
      <c r="B6" s="3" t="s">
        <v>87</v>
      </c>
      <c r="C6" s="12">
        <f>(1+'Project Details'!C32)*SUM('Project Details'!C27:C31)</f>
        <v>92400.000000000015</v>
      </c>
      <c r="F6" s="8"/>
      <c r="G6" s="1">
        <v>3</v>
      </c>
      <c r="H6" s="13">
        <f>'CR Finance Options'!$D$18</f>
        <v>4345.8761681346159</v>
      </c>
      <c r="J6" s="1">
        <v>3</v>
      </c>
      <c r="K6" s="13">
        <f>'CR Finance Options'!$D$17</f>
        <v>6676.8671951744136</v>
      </c>
      <c r="M6" s="1">
        <v>3</v>
      </c>
      <c r="N6" s="13">
        <f>'CR Finance Options'!$D$16</f>
        <v>18788.737164591359</v>
      </c>
    </row>
    <row r="7" spans="2:14" x14ac:dyDescent="0.2">
      <c r="B7" s="3" t="s">
        <v>83</v>
      </c>
      <c r="C7" s="12">
        <f>SUM('Project Details'!C39:C43)</f>
        <v>8500</v>
      </c>
      <c r="F7" s="8"/>
      <c r="G7" s="1">
        <v>4</v>
      </c>
      <c r="H7" s="13">
        <f>'CR Finance Options'!$D$18</f>
        <v>4345.8761681346159</v>
      </c>
      <c r="J7" s="1">
        <v>4</v>
      </c>
      <c r="K7" s="13">
        <f>'CR Finance Options'!$D$17</f>
        <v>6676.8671951744136</v>
      </c>
      <c r="M7" s="1">
        <v>4</v>
      </c>
      <c r="N7" s="13">
        <f>'CR Finance Options'!$D$16</f>
        <v>18788.737164591359</v>
      </c>
    </row>
    <row r="8" spans="2:14" x14ac:dyDescent="0.2">
      <c r="B8" s="44" t="s">
        <v>102</v>
      </c>
      <c r="C8" s="12">
        <f>'Project Details'!I17</f>
        <v>1998.8</v>
      </c>
      <c r="F8" s="8"/>
      <c r="G8" s="1">
        <v>5</v>
      </c>
      <c r="H8" s="13">
        <f>'CR Finance Options'!$D$18</f>
        <v>4345.8761681346159</v>
      </c>
      <c r="J8" s="1">
        <v>5</v>
      </c>
      <c r="K8" s="13">
        <f>'CR Finance Options'!$D$17</f>
        <v>6676.8671951744136</v>
      </c>
      <c r="M8" s="1">
        <v>5</v>
      </c>
      <c r="N8" s="13">
        <f>'CR Finance Options'!$D$16</f>
        <v>18788.737164591359</v>
      </c>
    </row>
    <row r="9" spans="2:14" ht="16" thickBot="1" x14ac:dyDescent="0.25">
      <c r="B9" s="56" t="s">
        <v>71</v>
      </c>
      <c r="C9" s="69">
        <f>Shipping!H13</f>
        <v>4235.08</v>
      </c>
      <c r="F9" s="8"/>
      <c r="G9" s="1">
        <v>6</v>
      </c>
      <c r="H9" s="13">
        <f>'CR Finance Options'!$D$18</f>
        <v>4345.8761681346159</v>
      </c>
      <c r="J9" s="1">
        <v>6</v>
      </c>
      <c r="K9" s="13">
        <f>'CR Finance Options'!$D$17</f>
        <v>6676.8671951744136</v>
      </c>
      <c r="M9" s="1">
        <v>6</v>
      </c>
      <c r="N9" s="13">
        <f>'CR Finance Options'!$D$16</f>
        <v>18788.737164591359</v>
      </c>
    </row>
    <row r="10" spans="2:14" ht="16" thickTop="1" x14ac:dyDescent="0.2">
      <c r="B10" s="54" t="s">
        <v>12</v>
      </c>
      <c r="C10" s="55">
        <f>SUM(C2:C9)</f>
        <v>292633.88</v>
      </c>
      <c r="F10" s="8"/>
      <c r="G10" s="1">
        <v>7</v>
      </c>
      <c r="H10" s="13">
        <f>'CR Finance Options'!$D$18</f>
        <v>4345.8761681346159</v>
      </c>
      <c r="J10" s="1">
        <v>7</v>
      </c>
      <c r="K10" s="13">
        <f>'CR Finance Options'!$D$17</f>
        <v>6676.8671951744136</v>
      </c>
      <c r="M10" s="1">
        <v>7</v>
      </c>
      <c r="N10" s="13">
        <f>'CR Finance Options'!$D$16</f>
        <v>18788.737164591359</v>
      </c>
    </row>
    <row r="11" spans="2:14" x14ac:dyDescent="0.2">
      <c r="F11" s="8"/>
      <c r="G11" s="1">
        <v>8</v>
      </c>
      <c r="H11" s="13">
        <f>'CR Finance Options'!$D$18</f>
        <v>4345.8761681346159</v>
      </c>
      <c r="J11" s="1">
        <v>8</v>
      </c>
      <c r="K11" s="13">
        <f>'CR Finance Options'!$D$17</f>
        <v>6676.8671951744136</v>
      </c>
      <c r="M11" s="1">
        <v>8</v>
      </c>
      <c r="N11" s="13">
        <f>'CR Finance Options'!$D$16</f>
        <v>18788.737164591359</v>
      </c>
    </row>
    <row r="12" spans="2:14" x14ac:dyDescent="0.2">
      <c r="F12" s="8"/>
      <c r="G12" s="1">
        <v>9</v>
      </c>
      <c r="H12" s="13">
        <f>'CR Finance Options'!$D$18</f>
        <v>4345.8761681346159</v>
      </c>
      <c r="J12" s="1">
        <v>9</v>
      </c>
      <c r="K12" s="13">
        <f>'CR Finance Options'!$D$17</f>
        <v>6676.8671951744136</v>
      </c>
      <c r="M12" s="1">
        <v>9</v>
      </c>
      <c r="N12" s="13">
        <f>'CR Finance Options'!$D$16</f>
        <v>18788.737164591359</v>
      </c>
    </row>
    <row r="13" spans="2:14" x14ac:dyDescent="0.2">
      <c r="F13" s="8"/>
      <c r="G13" s="1">
        <v>10</v>
      </c>
      <c r="H13" s="13">
        <f>'CR Finance Options'!$D$18</f>
        <v>4345.8761681346159</v>
      </c>
      <c r="J13" s="1">
        <v>10</v>
      </c>
      <c r="K13" s="13">
        <f>'CR Finance Options'!$D$17</f>
        <v>6676.8671951744136</v>
      </c>
      <c r="M13" s="1">
        <v>10</v>
      </c>
      <c r="N13" s="13">
        <f>'CR Finance Options'!$D$16</f>
        <v>18788.737164591359</v>
      </c>
    </row>
    <row r="14" spans="2:14" x14ac:dyDescent="0.2">
      <c r="B14" s="106" t="s">
        <v>124</v>
      </c>
      <c r="C14" s="107"/>
      <c r="D14" s="107"/>
      <c r="E14" s="107"/>
      <c r="F14" s="8"/>
      <c r="G14" s="1">
        <v>11</v>
      </c>
      <c r="H14" s="13">
        <f>'CR Finance Options'!$D$18</f>
        <v>4345.8761681346159</v>
      </c>
      <c r="J14" s="1">
        <v>11</v>
      </c>
      <c r="K14" s="13">
        <f>'CR Finance Options'!$D$17</f>
        <v>6676.8671951744136</v>
      </c>
      <c r="M14" s="1">
        <v>11</v>
      </c>
      <c r="N14" s="13">
        <f>'CR Finance Options'!$D$16</f>
        <v>18788.737164591359</v>
      </c>
    </row>
    <row r="15" spans="2:14" x14ac:dyDescent="0.2">
      <c r="B15" s="3" t="s">
        <v>62</v>
      </c>
      <c r="C15" s="1" t="s">
        <v>126</v>
      </c>
      <c r="D15" s="1" t="s">
        <v>123</v>
      </c>
      <c r="E15" s="1" t="s">
        <v>128</v>
      </c>
      <c r="F15" s="8"/>
      <c r="G15" s="1">
        <v>12</v>
      </c>
      <c r="H15" s="13">
        <f>'CR Finance Options'!$D$18</f>
        <v>4345.8761681346159</v>
      </c>
      <c r="J15" s="1">
        <v>12</v>
      </c>
      <c r="K15" s="13">
        <f>'CR Finance Options'!$D$17</f>
        <v>6676.8671951744136</v>
      </c>
      <c r="M15" s="1">
        <v>12</v>
      </c>
      <c r="N15" s="13">
        <f>'CR Finance Options'!$D$16</f>
        <v>18788.737164591359</v>
      </c>
    </row>
    <row r="16" spans="2:14" x14ac:dyDescent="0.2">
      <c r="B16" s="1">
        <v>1</v>
      </c>
      <c r="C16" s="79">
        <v>0.05</v>
      </c>
      <c r="D16" s="13">
        <f>-PMT(C16/12,B16*12,'CR Finance Options'!$C$10*0.75)</f>
        <v>18788.737164591359</v>
      </c>
      <c r="E16" s="11">
        <f>N64</f>
        <v>289470.53020071017</v>
      </c>
      <c r="F16" s="8"/>
      <c r="G16" s="1">
        <v>13</v>
      </c>
      <c r="H16" s="13">
        <f>'CR Finance Options'!$D$18</f>
        <v>4345.8761681346159</v>
      </c>
      <c r="J16" s="1">
        <v>13</v>
      </c>
      <c r="K16" s="13">
        <f>'CR Finance Options'!$D$17</f>
        <v>6676.8671951744136</v>
      </c>
      <c r="M16" s="1">
        <v>13</v>
      </c>
      <c r="N16" s="12">
        <v>0</v>
      </c>
    </row>
    <row r="17" spans="2:14" x14ac:dyDescent="0.2">
      <c r="B17" s="1">
        <v>3</v>
      </c>
      <c r="C17" s="79">
        <v>0.06</v>
      </c>
      <c r="D17" s="13">
        <f>-PMT(C17/12,B17*12,'CR Finance Options'!$C$10*0.75)</f>
        <v>6676.8671951744136</v>
      </c>
      <c r="E17" s="11">
        <f>K64</f>
        <v>287107.5381734338</v>
      </c>
      <c r="F17" s="8"/>
      <c r="G17" s="1">
        <v>14</v>
      </c>
      <c r="H17" s="13">
        <f>'CR Finance Options'!$D$18</f>
        <v>4345.8761681346159</v>
      </c>
      <c r="J17" s="1">
        <v>14</v>
      </c>
      <c r="K17" s="13">
        <f>'CR Finance Options'!$D$17</f>
        <v>6676.8671951744136</v>
      </c>
      <c r="M17" s="1">
        <v>14</v>
      </c>
      <c r="N17" s="12">
        <v>0</v>
      </c>
    </row>
    <row r="18" spans="2:14" x14ac:dyDescent="0.2">
      <c r="B18" s="1">
        <v>5</v>
      </c>
      <c r="C18" s="79">
        <v>7.0000000000000007E-2</v>
      </c>
      <c r="D18" s="13">
        <f>-PMT(C18/12,B18*12,'CR Finance Options'!$C$10*0.75)</f>
        <v>4345.8761681346159</v>
      </c>
      <c r="E18" s="11">
        <f>H64</f>
        <v>288909.07234090474</v>
      </c>
      <c r="F18" s="8"/>
      <c r="G18" s="1">
        <v>15</v>
      </c>
      <c r="H18" s="13">
        <f>'CR Finance Options'!$D$18</f>
        <v>4345.8761681346159</v>
      </c>
      <c r="J18" s="1">
        <v>15</v>
      </c>
      <c r="K18" s="13">
        <f>'CR Finance Options'!$D$17</f>
        <v>6676.8671951744136</v>
      </c>
      <c r="M18" s="1">
        <v>15</v>
      </c>
      <c r="N18" s="12">
        <v>0</v>
      </c>
    </row>
    <row r="19" spans="2:14" x14ac:dyDescent="0.2">
      <c r="F19" s="8"/>
      <c r="G19" s="1">
        <v>16</v>
      </c>
      <c r="H19" s="13">
        <f>'CR Finance Options'!$D$18</f>
        <v>4345.8761681346159</v>
      </c>
      <c r="J19" s="1">
        <v>16</v>
      </c>
      <c r="K19" s="13">
        <f>'CR Finance Options'!$D$17</f>
        <v>6676.8671951744136</v>
      </c>
      <c r="M19" s="1">
        <v>16</v>
      </c>
      <c r="N19" s="12">
        <v>0</v>
      </c>
    </row>
    <row r="20" spans="2:14" x14ac:dyDescent="0.2">
      <c r="F20" s="8"/>
      <c r="G20" s="1">
        <v>17</v>
      </c>
      <c r="H20" s="13">
        <f>'CR Finance Options'!$D$18</f>
        <v>4345.8761681346159</v>
      </c>
      <c r="J20" s="1">
        <v>17</v>
      </c>
      <c r="K20" s="13">
        <f>'CR Finance Options'!$D$17</f>
        <v>6676.8671951744136</v>
      </c>
      <c r="M20" s="1">
        <v>17</v>
      </c>
      <c r="N20" s="12">
        <v>0</v>
      </c>
    </row>
    <row r="21" spans="2:14" ht="16" thickBot="1" x14ac:dyDescent="0.25">
      <c r="F21" s="8"/>
      <c r="G21" s="1">
        <v>18</v>
      </c>
      <c r="H21" s="13">
        <f>'CR Finance Options'!$D$18</f>
        <v>4345.8761681346159</v>
      </c>
      <c r="J21" s="1">
        <v>18</v>
      </c>
      <c r="K21" s="13">
        <f>'CR Finance Options'!$D$17</f>
        <v>6676.8671951744136</v>
      </c>
      <c r="M21" s="1">
        <v>18</v>
      </c>
      <c r="N21" s="12">
        <v>0</v>
      </c>
    </row>
    <row r="22" spans="2:14" ht="16" thickBot="1" x14ac:dyDescent="0.25">
      <c r="D22" s="140" t="s">
        <v>180</v>
      </c>
      <c r="E22" s="141">
        <f>_xlfn.XLOOKUP(MIN(E16:E18),E16:E18,B16:B18)</f>
        <v>3</v>
      </c>
      <c r="F22" s="8"/>
      <c r="G22" s="1">
        <v>19</v>
      </c>
      <c r="H22" s="13">
        <f>'CR Finance Options'!$D$18</f>
        <v>4345.8761681346159</v>
      </c>
      <c r="J22" s="1">
        <v>19</v>
      </c>
      <c r="K22" s="13">
        <f>'CR Finance Options'!$D$17</f>
        <v>6676.8671951744136</v>
      </c>
      <c r="M22" s="1">
        <v>19</v>
      </c>
      <c r="N22" s="12">
        <v>0</v>
      </c>
    </row>
    <row r="23" spans="2:14" x14ac:dyDescent="0.2">
      <c r="F23" s="8"/>
      <c r="G23" s="1">
        <v>20</v>
      </c>
      <c r="H23" s="13">
        <f>'CR Finance Options'!$D$18</f>
        <v>4345.8761681346159</v>
      </c>
      <c r="J23" s="1">
        <v>20</v>
      </c>
      <c r="K23" s="13">
        <f>'CR Finance Options'!$D$17</f>
        <v>6676.8671951744136</v>
      </c>
      <c r="M23" s="1">
        <v>20</v>
      </c>
      <c r="N23" s="12">
        <v>0</v>
      </c>
    </row>
    <row r="24" spans="2:14" x14ac:dyDescent="0.2">
      <c r="F24" s="8"/>
      <c r="G24" s="1">
        <v>21</v>
      </c>
      <c r="H24" s="13">
        <f>'CR Finance Options'!$D$18</f>
        <v>4345.8761681346159</v>
      </c>
      <c r="J24" s="1">
        <v>21</v>
      </c>
      <c r="K24" s="13">
        <f>'CR Finance Options'!$D$17</f>
        <v>6676.8671951744136</v>
      </c>
      <c r="M24" s="1">
        <v>21</v>
      </c>
      <c r="N24" s="12">
        <v>0</v>
      </c>
    </row>
    <row r="25" spans="2:14" x14ac:dyDescent="0.2">
      <c r="F25" s="8"/>
      <c r="G25" s="1">
        <v>22</v>
      </c>
      <c r="H25" s="13">
        <f>'CR Finance Options'!$D$18</f>
        <v>4345.8761681346159</v>
      </c>
      <c r="J25" s="1">
        <v>22</v>
      </c>
      <c r="K25" s="13">
        <f>'CR Finance Options'!$D$17</f>
        <v>6676.8671951744136</v>
      </c>
      <c r="M25" s="1">
        <v>22</v>
      </c>
      <c r="N25" s="12">
        <v>0</v>
      </c>
    </row>
    <row r="26" spans="2:14" x14ac:dyDescent="0.2">
      <c r="F26" s="8"/>
      <c r="G26" s="1">
        <v>23</v>
      </c>
      <c r="H26" s="13">
        <f>'CR Finance Options'!$D$18</f>
        <v>4345.8761681346159</v>
      </c>
      <c r="J26" s="1">
        <v>23</v>
      </c>
      <c r="K26" s="13">
        <f>'CR Finance Options'!$D$17</f>
        <v>6676.8671951744136</v>
      </c>
      <c r="M26" s="1">
        <v>23</v>
      </c>
      <c r="N26" s="12">
        <v>0</v>
      </c>
    </row>
    <row r="27" spans="2:14" x14ac:dyDescent="0.2">
      <c r="F27" s="8"/>
      <c r="G27" s="1">
        <v>24</v>
      </c>
      <c r="H27" s="13">
        <f>'CR Finance Options'!$D$18</f>
        <v>4345.8761681346159</v>
      </c>
      <c r="J27" s="1">
        <v>24</v>
      </c>
      <c r="K27" s="13">
        <f>'CR Finance Options'!$D$17</f>
        <v>6676.8671951744136</v>
      </c>
      <c r="M27" s="1">
        <v>24</v>
      </c>
      <c r="N27" s="12">
        <v>0</v>
      </c>
    </row>
    <row r="28" spans="2:14" x14ac:dyDescent="0.2">
      <c r="F28" s="8"/>
      <c r="G28" s="1">
        <v>25</v>
      </c>
      <c r="H28" s="13">
        <f>'CR Finance Options'!$D$18</f>
        <v>4345.8761681346159</v>
      </c>
      <c r="J28" s="1">
        <v>25</v>
      </c>
      <c r="K28" s="13">
        <f>'CR Finance Options'!$D$17</f>
        <v>6676.8671951744136</v>
      </c>
      <c r="M28" s="1">
        <v>25</v>
      </c>
      <c r="N28" s="12">
        <v>0</v>
      </c>
    </row>
    <row r="29" spans="2:14" x14ac:dyDescent="0.2">
      <c r="F29" s="8"/>
      <c r="G29" s="1">
        <v>26</v>
      </c>
      <c r="H29" s="13">
        <f>'CR Finance Options'!$D$18</f>
        <v>4345.8761681346159</v>
      </c>
      <c r="J29" s="1">
        <v>26</v>
      </c>
      <c r="K29" s="13">
        <f>'CR Finance Options'!$D$17</f>
        <v>6676.8671951744136</v>
      </c>
      <c r="M29" s="1">
        <v>26</v>
      </c>
      <c r="N29" s="12">
        <v>0</v>
      </c>
    </row>
    <row r="30" spans="2:14" x14ac:dyDescent="0.2">
      <c r="F30" s="8"/>
      <c r="G30" s="1">
        <v>27</v>
      </c>
      <c r="H30" s="13">
        <f>'CR Finance Options'!$D$18</f>
        <v>4345.8761681346159</v>
      </c>
      <c r="J30" s="1">
        <v>27</v>
      </c>
      <c r="K30" s="13">
        <f>'CR Finance Options'!$D$17</f>
        <v>6676.8671951744136</v>
      </c>
      <c r="M30" s="1">
        <v>27</v>
      </c>
      <c r="N30" s="12">
        <v>0</v>
      </c>
    </row>
    <row r="31" spans="2:14" x14ac:dyDescent="0.2">
      <c r="F31" s="8"/>
      <c r="G31" s="1">
        <v>28</v>
      </c>
      <c r="H31" s="13">
        <f>'CR Finance Options'!$D$18</f>
        <v>4345.8761681346159</v>
      </c>
      <c r="J31" s="1">
        <v>28</v>
      </c>
      <c r="K31" s="13">
        <f>'CR Finance Options'!$D$17</f>
        <v>6676.8671951744136</v>
      </c>
      <c r="M31" s="1">
        <v>28</v>
      </c>
      <c r="N31" s="12">
        <v>0</v>
      </c>
    </row>
    <row r="32" spans="2:14" x14ac:dyDescent="0.2">
      <c r="F32" s="8"/>
      <c r="G32" s="1">
        <v>29</v>
      </c>
      <c r="H32" s="13">
        <f>'CR Finance Options'!$D$18</f>
        <v>4345.8761681346159</v>
      </c>
      <c r="J32" s="1">
        <v>29</v>
      </c>
      <c r="K32" s="13">
        <f>'CR Finance Options'!$D$17</f>
        <v>6676.8671951744136</v>
      </c>
      <c r="M32" s="1">
        <v>29</v>
      </c>
      <c r="N32" s="12">
        <v>0</v>
      </c>
    </row>
    <row r="33" spans="6:14" x14ac:dyDescent="0.2">
      <c r="F33" s="8"/>
      <c r="G33" s="1">
        <v>30</v>
      </c>
      <c r="H33" s="13">
        <f>'CR Finance Options'!$D$18</f>
        <v>4345.8761681346159</v>
      </c>
      <c r="J33" s="1">
        <v>30</v>
      </c>
      <c r="K33" s="13">
        <f>'CR Finance Options'!$D$17</f>
        <v>6676.8671951744136</v>
      </c>
      <c r="M33" s="1">
        <v>30</v>
      </c>
      <c r="N33" s="12">
        <v>0</v>
      </c>
    </row>
    <row r="34" spans="6:14" x14ac:dyDescent="0.2">
      <c r="F34" s="8"/>
      <c r="G34" s="1">
        <v>31</v>
      </c>
      <c r="H34" s="13">
        <f>'CR Finance Options'!$D$18</f>
        <v>4345.8761681346159</v>
      </c>
      <c r="J34" s="1">
        <v>31</v>
      </c>
      <c r="K34" s="13">
        <f>'CR Finance Options'!$D$17</f>
        <v>6676.8671951744136</v>
      </c>
      <c r="M34" s="1">
        <v>31</v>
      </c>
      <c r="N34" s="12">
        <v>0</v>
      </c>
    </row>
    <row r="35" spans="6:14" x14ac:dyDescent="0.2">
      <c r="F35" s="8"/>
      <c r="G35" s="1">
        <v>32</v>
      </c>
      <c r="H35" s="13">
        <f>'CR Finance Options'!$D$18</f>
        <v>4345.8761681346159</v>
      </c>
      <c r="J35" s="1">
        <v>32</v>
      </c>
      <c r="K35" s="13">
        <f>'CR Finance Options'!$D$17</f>
        <v>6676.8671951744136</v>
      </c>
      <c r="M35" s="1">
        <v>32</v>
      </c>
      <c r="N35" s="12">
        <v>0</v>
      </c>
    </row>
    <row r="36" spans="6:14" x14ac:dyDescent="0.2">
      <c r="F36" s="8"/>
      <c r="G36" s="1">
        <v>33</v>
      </c>
      <c r="H36" s="13">
        <f>'CR Finance Options'!$D$18</f>
        <v>4345.8761681346159</v>
      </c>
      <c r="J36" s="1">
        <v>33</v>
      </c>
      <c r="K36" s="13">
        <f>'CR Finance Options'!$D$17</f>
        <v>6676.8671951744136</v>
      </c>
      <c r="M36" s="1">
        <v>33</v>
      </c>
      <c r="N36" s="12">
        <v>0</v>
      </c>
    </row>
    <row r="37" spans="6:14" x14ac:dyDescent="0.2">
      <c r="F37" s="8"/>
      <c r="G37" s="1">
        <v>34</v>
      </c>
      <c r="H37" s="13">
        <f>'CR Finance Options'!$D$18</f>
        <v>4345.8761681346159</v>
      </c>
      <c r="J37" s="1">
        <v>34</v>
      </c>
      <c r="K37" s="13">
        <f>'CR Finance Options'!$D$17</f>
        <v>6676.8671951744136</v>
      </c>
      <c r="M37" s="1">
        <v>34</v>
      </c>
      <c r="N37" s="12">
        <v>0</v>
      </c>
    </row>
    <row r="38" spans="6:14" x14ac:dyDescent="0.2">
      <c r="F38" s="8"/>
      <c r="G38" s="1">
        <v>35</v>
      </c>
      <c r="H38" s="13">
        <f>'CR Finance Options'!$D$18</f>
        <v>4345.8761681346159</v>
      </c>
      <c r="J38" s="1">
        <v>35</v>
      </c>
      <c r="K38" s="13">
        <f>'CR Finance Options'!$D$17</f>
        <v>6676.8671951744136</v>
      </c>
      <c r="M38" s="1">
        <v>35</v>
      </c>
      <c r="N38" s="12">
        <v>0</v>
      </c>
    </row>
    <row r="39" spans="6:14" x14ac:dyDescent="0.2">
      <c r="F39" s="8"/>
      <c r="G39" s="1">
        <v>36</v>
      </c>
      <c r="H39" s="13">
        <f>'CR Finance Options'!$D$18</f>
        <v>4345.8761681346159</v>
      </c>
      <c r="J39" s="1">
        <v>36</v>
      </c>
      <c r="K39" s="13">
        <f>'CR Finance Options'!$D$17</f>
        <v>6676.8671951744136</v>
      </c>
      <c r="M39" s="1">
        <v>36</v>
      </c>
      <c r="N39" s="12">
        <v>0</v>
      </c>
    </row>
    <row r="40" spans="6:14" x14ac:dyDescent="0.2">
      <c r="F40" s="8"/>
      <c r="G40" s="1">
        <v>37</v>
      </c>
      <c r="H40" s="13">
        <f>'CR Finance Options'!$D$18</f>
        <v>4345.8761681346159</v>
      </c>
      <c r="J40" s="1">
        <v>37</v>
      </c>
      <c r="K40" s="13">
        <v>0</v>
      </c>
      <c r="M40" s="1">
        <v>37</v>
      </c>
      <c r="N40" s="12">
        <v>0</v>
      </c>
    </row>
    <row r="41" spans="6:14" x14ac:dyDescent="0.2">
      <c r="F41" s="8"/>
      <c r="G41" s="1">
        <v>38</v>
      </c>
      <c r="H41" s="13">
        <f>'CR Finance Options'!$D$18</f>
        <v>4345.8761681346159</v>
      </c>
      <c r="J41" s="1">
        <v>38</v>
      </c>
      <c r="K41" s="13">
        <v>0</v>
      </c>
      <c r="M41" s="1">
        <v>38</v>
      </c>
      <c r="N41" s="12">
        <v>0</v>
      </c>
    </row>
    <row r="42" spans="6:14" x14ac:dyDescent="0.2">
      <c r="F42" s="8"/>
      <c r="G42" s="1">
        <v>39</v>
      </c>
      <c r="H42" s="13">
        <f>'CR Finance Options'!$D$18</f>
        <v>4345.8761681346159</v>
      </c>
      <c r="J42" s="1">
        <v>39</v>
      </c>
      <c r="K42" s="13">
        <v>0</v>
      </c>
      <c r="M42" s="1">
        <v>39</v>
      </c>
      <c r="N42" s="12">
        <v>0</v>
      </c>
    </row>
    <row r="43" spans="6:14" x14ac:dyDescent="0.2">
      <c r="F43" s="8"/>
      <c r="G43" s="1">
        <v>40</v>
      </c>
      <c r="H43" s="13">
        <f>'CR Finance Options'!$D$18</f>
        <v>4345.8761681346159</v>
      </c>
      <c r="J43" s="1">
        <v>40</v>
      </c>
      <c r="K43" s="13">
        <v>0</v>
      </c>
      <c r="M43" s="1">
        <v>40</v>
      </c>
      <c r="N43" s="12">
        <v>0</v>
      </c>
    </row>
    <row r="44" spans="6:14" x14ac:dyDescent="0.2">
      <c r="F44" s="8"/>
      <c r="G44" s="1">
        <v>41</v>
      </c>
      <c r="H44" s="13">
        <f>'CR Finance Options'!$D$18</f>
        <v>4345.8761681346159</v>
      </c>
      <c r="J44" s="1">
        <v>41</v>
      </c>
      <c r="K44" s="13">
        <v>0</v>
      </c>
      <c r="M44" s="1">
        <v>41</v>
      </c>
      <c r="N44" s="12">
        <v>0</v>
      </c>
    </row>
    <row r="45" spans="6:14" x14ac:dyDescent="0.2">
      <c r="F45" s="8"/>
      <c r="G45" s="1">
        <v>42</v>
      </c>
      <c r="H45" s="13">
        <f>'CR Finance Options'!$D$18</f>
        <v>4345.8761681346159</v>
      </c>
      <c r="J45" s="1">
        <v>42</v>
      </c>
      <c r="K45" s="13">
        <v>0</v>
      </c>
      <c r="M45" s="1">
        <v>42</v>
      </c>
      <c r="N45" s="12">
        <v>0</v>
      </c>
    </row>
    <row r="46" spans="6:14" x14ac:dyDescent="0.2">
      <c r="F46" s="8"/>
      <c r="G46" s="1">
        <v>43</v>
      </c>
      <c r="H46" s="13">
        <f>'CR Finance Options'!$D$18</f>
        <v>4345.8761681346159</v>
      </c>
      <c r="J46" s="1">
        <v>43</v>
      </c>
      <c r="K46" s="13">
        <v>0</v>
      </c>
      <c r="M46" s="1">
        <v>43</v>
      </c>
      <c r="N46" s="12">
        <v>0</v>
      </c>
    </row>
    <row r="47" spans="6:14" x14ac:dyDescent="0.2">
      <c r="F47" s="8"/>
      <c r="G47" s="1">
        <v>44</v>
      </c>
      <c r="H47" s="13">
        <f>'CR Finance Options'!$D$18</f>
        <v>4345.8761681346159</v>
      </c>
      <c r="J47" s="1">
        <v>44</v>
      </c>
      <c r="K47" s="13">
        <v>0</v>
      </c>
      <c r="M47" s="1">
        <v>44</v>
      </c>
      <c r="N47" s="12">
        <v>0</v>
      </c>
    </row>
    <row r="48" spans="6:14" x14ac:dyDescent="0.2">
      <c r="F48" s="8"/>
      <c r="G48" s="1">
        <v>45</v>
      </c>
      <c r="H48" s="13">
        <f>'CR Finance Options'!$D$18</f>
        <v>4345.8761681346159</v>
      </c>
      <c r="J48" s="1">
        <v>45</v>
      </c>
      <c r="K48" s="13">
        <v>0</v>
      </c>
      <c r="M48" s="1">
        <v>45</v>
      </c>
      <c r="N48" s="12">
        <v>0</v>
      </c>
    </row>
    <row r="49" spans="6:14" x14ac:dyDescent="0.2">
      <c r="F49" s="8"/>
      <c r="G49" s="1">
        <v>46</v>
      </c>
      <c r="H49" s="13">
        <f>'CR Finance Options'!$D$18</f>
        <v>4345.8761681346159</v>
      </c>
      <c r="J49" s="1">
        <v>46</v>
      </c>
      <c r="K49" s="13">
        <v>0</v>
      </c>
      <c r="M49" s="1">
        <v>46</v>
      </c>
      <c r="N49" s="12">
        <v>0</v>
      </c>
    </row>
    <row r="50" spans="6:14" x14ac:dyDescent="0.2">
      <c r="F50" s="8"/>
      <c r="G50" s="1">
        <v>47</v>
      </c>
      <c r="H50" s="13">
        <f>'CR Finance Options'!$D$18</f>
        <v>4345.8761681346159</v>
      </c>
      <c r="J50" s="1">
        <v>47</v>
      </c>
      <c r="K50" s="13">
        <v>0</v>
      </c>
      <c r="M50" s="1">
        <v>47</v>
      </c>
      <c r="N50" s="12">
        <v>0</v>
      </c>
    </row>
    <row r="51" spans="6:14" x14ac:dyDescent="0.2">
      <c r="F51" s="8"/>
      <c r="G51" s="1">
        <v>48</v>
      </c>
      <c r="H51" s="13">
        <f>'CR Finance Options'!$D$18</f>
        <v>4345.8761681346159</v>
      </c>
      <c r="J51" s="1">
        <v>48</v>
      </c>
      <c r="K51" s="13">
        <v>0</v>
      </c>
      <c r="M51" s="1">
        <v>48</v>
      </c>
      <c r="N51" s="12">
        <v>0</v>
      </c>
    </row>
    <row r="52" spans="6:14" x14ac:dyDescent="0.2">
      <c r="F52" s="8"/>
      <c r="G52" s="1">
        <v>49</v>
      </c>
      <c r="H52" s="13">
        <f>'CR Finance Options'!$D$18</f>
        <v>4345.8761681346159</v>
      </c>
      <c r="J52" s="1">
        <v>49</v>
      </c>
      <c r="K52" s="13">
        <v>0</v>
      </c>
      <c r="M52" s="1">
        <v>49</v>
      </c>
      <c r="N52" s="12">
        <v>0</v>
      </c>
    </row>
    <row r="53" spans="6:14" x14ac:dyDescent="0.2">
      <c r="F53" s="8"/>
      <c r="G53" s="1">
        <v>50</v>
      </c>
      <c r="H53" s="13">
        <f>'CR Finance Options'!$D$18</f>
        <v>4345.8761681346159</v>
      </c>
      <c r="J53" s="1">
        <v>50</v>
      </c>
      <c r="K53" s="13">
        <v>0</v>
      </c>
      <c r="M53" s="1">
        <v>50</v>
      </c>
      <c r="N53" s="12">
        <v>0</v>
      </c>
    </row>
    <row r="54" spans="6:14" x14ac:dyDescent="0.2">
      <c r="F54" s="8"/>
      <c r="G54" s="1">
        <v>51</v>
      </c>
      <c r="H54" s="13">
        <f>'CR Finance Options'!$D$18</f>
        <v>4345.8761681346159</v>
      </c>
      <c r="J54" s="1">
        <v>51</v>
      </c>
      <c r="K54" s="13">
        <v>0</v>
      </c>
      <c r="M54" s="1">
        <v>51</v>
      </c>
      <c r="N54" s="12">
        <v>0</v>
      </c>
    </row>
    <row r="55" spans="6:14" x14ac:dyDescent="0.2">
      <c r="F55" s="8"/>
      <c r="G55" s="1">
        <v>52</v>
      </c>
      <c r="H55" s="13">
        <f>'CR Finance Options'!$D$18</f>
        <v>4345.8761681346159</v>
      </c>
      <c r="J55" s="1">
        <v>52</v>
      </c>
      <c r="K55" s="13">
        <v>0</v>
      </c>
      <c r="M55" s="1">
        <v>52</v>
      </c>
      <c r="N55" s="12">
        <v>0</v>
      </c>
    </row>
    <row r="56" spans="6:14" x14ac:dyDescent="0.2">
      <c r="F56" s="8"/>
      <c r="G56" s="1">
        <v>53</v>
      </c>
      <c r="H56" s="13">
        <f>'CR Finance Options'!$D$18</f>
        <v>4345.8761681346159</v>
      </c>
      <c r="J56" s="1">
        <v>53</v>
      </c>
      <c r="K56" s="13">
        <v>0</v>
      </c>
      <c r="M56" s="1">
        <v>53</v>
      </c>
      <c r="N56" s="12">
        <v>0</v>
      </c>
    </row>
    <row r="57" spans="6:14" x14ac:dyDescent="0.2">
      <c r="F57" s="8"/>
      <c r="G57" s="1">
        <v>54</v>
      </c>
      <c r="H57" s="13">
        <f>'CR Finance Options'!$D$18</f>
        <v>4345.8761681346159</v>
      </c>
      <c r="J57" s="1">
        <v>54</v>
      </c>
      <c r="K57" s="13">
        <v>0</v>
      </c>
      <c r="M57" s="1">
        <v>54</v>
      </c>
      <c r="N57" s="12">
        <v>0</v>
      </c>
    </row>
    <row r="58" spans="6:14" x14ac:dyDescent="0.2">
      <c r="F58" s="8"/>
      <c r="G58" s="1">
        <v>55</v>
      </c>
      <c r="H58" s="13">
        <f>'CR Finance Options'!$D$18</f>
        <v>4345.8761681346159</v>
      </c>
      <c r="J58" s="1">
        <v>55</v>
      </c>
      <c r="K58" s="13">
        <v>0</v>
      </c>
      <c r="M58" s="1">
        <v>55</v>
      </c>
      <c r="N58" s="12">
        <v>0</v>
      </c>
    </row>
    <row r="59" spans="6:14" x14ac:dyDescent="0.2">
      <c r="F59" s="8"/>
      <c r="G59" s="1">
        <v>56</v>
      </c>
      <c r="H59" s="13">
        <f>'CR Finance Options'!$D$18</f>
        <v>4345.8761681346159</v>
      </c>
      <c r="J59" s="1">
        <v>56</v>
      </c>
      <c r="K59" s="13">
        <v>0</v>
      </c>
      <c r="M59" s="1">
        <v>56</v>
      </c>
      <c r="N59" s="12">
        <v>0</v>
      </c>
    </row>
    <row r="60" spans="6:14" x14ac:dyDescent="0.2">
      <c r="F60" s="8"/>
      <c r="G60" s="1">
        <v>57</v>
      </c>
      <c r="H60" s="13">
        <f>'CR Finance Options'!$D$18</f>
        <v>4345.8761681346159</v>
      </c>
      <c r="J60" s="1">
        <v>57</v>
      </c>
      <c r="K60" s="13">
        <v>0</v>
      </c>
      <c r="M60" s="1">
        <v>57</v>
      </c>
      <c r="N60" s="12">
        <v>0</v>
      </c>
    </row>
    <row r="61" spans="6:14" x14ac:dyDescent="0.2">
      <c r="F61" s="8"/>
      <c r="G61" s="1">
        <v>58</v>
      </c>
      <c r="H61" s="13">
        <f>'CR Finance Options'!$D$18</f>
        <v>4345.8761681346159</v>
      </c>
      <c r="J61" s="1">
        <v>58</v>
      </c>
      <c r="K61" s="13">
        <v>0</v>
      </c>
      <c r="M61" s="1">
        <v>58</v>
      </c>
      <c r="N61" s="12">
        <v>0</v>
      </c>
    </row>
    <row r="62" spans="6:14" x14ac:dyDescent="0.2">
      <c r="F62" s="8"/>
      <c r="G62" s="1">
        <v>59</v>
      </c>
      <c r="H62" s="13">
        <f>'CR Finance Options'!$D$18</f>
        <v>4345.8761681346159</v>
      </c>
      <c r="J62" s="1">
        <v>59</v>
      </c>
      <c r="K62" s="13">
        <v>0</v>
      </c>
      <c r="M62" s="1">
        <v>59</v>
      </c>
      <c r="N62" s="12">
        <v>0</v>
      </c>
    </row>
    <row r="63" spans="6:14" x14ac:dyDescent="0.2">
      <c r="F63" s="8"/>
      <c r="G63" s="1">
        <v>60</v>
      </c>
      <c r="H63" s="13">
        <f>'CR Finance Options'!$D$18</f>
        <v>4345.8761681346159</v>
      </c>
      <c r="J63" s="1">
        <v>60</v>
      </c>
      <c r="K63" s="13">
        <v>0</v>
      </c>
      <c r="M63" s="1">
        <v>60</v>
      </c>
      <c r="N63" s="12">
        <v>0</v>
      </c>
    </row>
    <row r="64" spans="6:14" x14ac:dyDescent="0.2">
      <c r="F64" s="8"/>
      <c r="G64" s="14" t="s">
        <v>12</v>
      </c>
      <c r="H64" s="15">
        <f>H3+NPV((1+'Project Details'!F6)^(1/12)-1,H4:H63)</f>
        <v>288909.07234090474</v>
      </c>
      <c r="J64" s="14" t="s">
        <v>12</v>
      </c>
      <c r="K64" s="15">
        <f>NPV((1+'Project Details'!F6)^(1/12)-1,'CR Finance Options'!K4:K63)+K3</f>
        <v>287107.5381734338</v>
      </c>
      <c r="M64" s="14" t="s">
        <v>12</v>
      </c>
      <c r="N64" s="15">
        <f>N3+NPV((1+'Project Details'!F6)^(1/12)-1,'CR Finance Options'!N4:N63)</f>
        <v>289470.53020071017</v>
      </c>
    </row>
  </sheetData>
  <mergeCells count="5">
    <mergeCell ref="B1:C1"/>
    <mergeCell ref="M1:N1"/>
    <mergeCell ref="G1:H1"/>
    <mergeCell ref="J1:K1"/>
    <mergeCell ref="B14:E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EC192-FD1E-4512-A97A-EBF4BB0693FB}">
  <dimension ref="A1:O62"/>
  <sheetViews>
    <sheetView tabSelected="1" workbookViewId="0">
      <selection activeCell="M15" sqref="M15"/>
    </sheetView>
  </sheetViews>
  <sheetFormatPr baseColWidth="10" defaultColWidth="8.83203125" defaultRowHeight="15" x14ac:dyDescent="0.2"/>
  <cols>
    <col min="1" max="1" width="18.6640625" style="116" customWidth="1"/>
    <col min="2" max="2" width="10.83203125" customWidth="1"/>
    <col min="3" max="3" width="21.6640625" customWidth="1"/>
    <col min="4" max="4" width="13" customWidth="1"/>
    <col min="5" max="6" width="17.83203125" customWidth="1"/>
    <col min="7" max="7" width="15.33203125" customWidth="1"/>
    <col min="8" max="8" width="12.5" bestFit="1" customWidth="1"/>
    <col min="9" max="9" width="18.5" customWidth="1"/>
    <col min="10" max="10" width="36" customWidth="1"/>
    <col min="12" max="12" width="15" customWidth="1"/>
    <col min="13" max="13" width="12.5" customWidth="1"/>
    <col min="14" max="14" width="11.5" bestFit="1" customWidth="1"/>
  </cols>
  <sheetData>
    <row r="1" spans="1:15" ht="16" thickBot="1" x14ac:dyDescent="0.25">
      <c r="A1" s="151" t="s">
        <v>189</v>
      </c>
      <c r="B1" s="151" t="s">
        <v>11</v>
      </c>
      <c r="C1" s="151" t="s">
        <v>184</v>
      </c>
      <c r="D1" s="151" t="s">
        <v>60</v>
      </c>
      <c r="E1" s="151" t="s">
        <v>185</v>
      </c>
      <c r="F1" s="151" t="s">
        <v>186</v>
      </c>
      <c r="G1" s="151" t="s">
        <v>183</v>
      </c>
      <c r="H1" s="151" t="s">
        <v>16</v>
      </c>
      <c r="I1" s="165" t="s">
        <v>207</v>
      </c>
      <c r="J1" s="151" t="s">
        <v>61</v>
      </c>
    </row>
    <row r="2" spans="1:15" ht="16" thickTop="1" x14ac:dyDescent="0.2">
      <c r="A2" s="155">
        <f>(1+'Project Details'!$F$5)^(B2/12)</f>
        <v>1</v>
      </c>
      <c r="B2" s="54">
        <v>0</v>
      </c>
      <c r="C2" s="150">
        <f>-'CR Finance Options'!K3</f>
        <v>-73158.47</v>
      </c>
      <c r="D2" s="150">
        <v>0</v>
      </c>
      <c r="E2" s="150">
        <f>-Cashflow!A2*'Project Details'!$C$14</f>
        <v>-2500</v>
      </c>
      <c r="F2" s="150">
        <f>IF(MOD(B2,12)=0,-A2*'Project Details'!$C$44,0)</f>
        <v>-2500</v>
      </c>
      <c r="G2" s="150">
        <v>0</v>
      </c>
      <c r="H2" s="150">
        <v>0</v>
      </c>
      <c r="I2" s="166">
        <f>IF(MOD(B2,12)=0,'Student Fee'!$E$5*A2,0)</f>
        <v>226800</v>
      </c>
      <c r="J2" s="150">
        <f>SUM(C2:I2)</f>
        <v>148641.53</v>
      </c>
    </row>
    <row r="3" spans="1:15" x14ac:dyDescent="0.2">
      <c r="A3" s="156">
        <f>(1+'Project Details'!$F$5)^(B3/12)</f>
        <v>1.0028708987190766</v>
      </c>
      <c r="B3" s="3">
        <v>1</v>
      </c>
      <c r="C3" s="150">
        <f>-'CR Finance Options'!K4</f>
        <v>-6676.8671951744136</v>
      </c>
      <c r="D3" s="34">
        <f>-A3*Electicity!$B$10</f>
        <v>-175.76274157077984</v>
      </c>
      <c r="E3" s="150">
        <f>-Cashflow!A3*'Project Details'!$C$14</f>
        <v>-2507.1772467976916</v>
      </c>
      <c r="F3" s="150">
        <f>IF(MOD(B3,12)=0,-A3*'Project Details'!$C$44,0)</f>
        <v>0</v>
      </c>
      <c r="G3" s="34">
        <f>-(Shipping!$H$24+Maintenance!$G$24)*Cashflow!A3</f>
        <v>-2795.5235233231497</v>
      </c>
      <c r="H3" s="34">
        <f>-Maintenance!$G$25*A3</f>
        <v>-3852.6957025791194</v>
      </c>
      <c r="I3" s="166">
        <f>IF(MOD(B3,12)=0,'Student Fee'!$E$5*A3,0)</f>
        <v>0</v>
      </c>
      <c r="J3" s="150">
        <f t="shared" ref="J3:J62" si="0">SUM(C3:I3)</f>
        <v>-16008.026409445156</v>
      </c>
    </row>
    <row r="4" spans="1:15" x14ac:dyDescent="0.2">
      <c r="A4" s="156">
        <f>(1+'Project Details'!$F$5)^(B4/12)</f>
        <v>1.0057500394976084</v>
      </c>
      <c r="B4" s="3">
        <v>2</v>
      </c>
      <c r="C4" s="150">
        <f>-'CR Finance Options'!K5</f>
        <v>-6676.8671951744136</v>
      </c>
      <c r="D4" s="34">
        <f>-A4*Electicity!$B$10</f>
        <v>-176.26733860041679</v>
      </c>
      <c r="E4" s="150">
        <f>-Cashflow!A4*'Project Details'!$C$14</f>
        <v>-2514.3750987440212</v>
      </c>
      <c r="F4" s="150">
        <f>IF(MOD(B4,12)=0,-A4*'Project Details'!$C$44,0)</f>
        <v>0</v>
      </c>
      <c r="G4" s="34">
        <f>-(Shipping!$H$24+Maintenance!$G$24)*Cashflow!A4</f>
        <v>-2803.5491882254064</v>
      </c>
      <c r="H4" s="34">
        <f>-Maintenance!$G$25*A4</f>
        <v>-3863.7564017366458</v>
      </c>
      <c r="I4" s="166">
        <f>IF(MOD(B4,12)=0,'Student Fee'!$E$5*A4,0)</f>
        <v>0</v>
      </c>
      <c r="J4" s="150">
        <f t="shared" si="0"/>
        <v>-16034.815222480904</v>
      </c>
      <c r="L4" s="154" t="s">
        <v>192</v>
      </c>
      <c r="M4" s="154"/>
    </row>
    <row r="5" spans="1:15" x14ac:dyDescent="0.2">
      <c r="A5" s="156">
        <f>(1+'Project Details'!$F$5)^(B5/12)</f>
        <v>1.0086374459977134</v>
      </c>
      <c r="B5" s="3">
        <v>3</v>
      </c>
      <c r="C5" s="150">
        <f>-'CR Finance Options'!K6</f>
        <v>-6676.8671951744136</v>
      </c>
      <c r="D5" s="34">
        <f>-A5*Electicity!$B$10</f>
        <v>-176.77338427701977</v>
      </c>
      <c r="E5" s="150">
        <f>-Cashflow!A5*'Project Details'!$C$14</f>
        <v>-2521.5936149942836</v>
      </c>
      <c r="F5" s="150">
        <f>IF(MOD(B5,12)=0,-A5*'Project Details'!$C$44,0)</f>
        <v>0</v>
      </c>
      <c r="G5" s="34">
        <f>-(Shipping!$H$24+Maintenance!$G$24)*Cashflow!A5</f>
        <v>-2811.5978939987513</v>
      </c>
      <c r="H5" s="34">
        <f>-Maintenance!$G$25*A5</f>
        <v>-3874.8488550412158</v>
      </c>
      <c r="I5" s="166">
        <f>IF(MOD(B5,12)=0,'Student Fee'!$E$5*A5,0)</f>
        <v>0</v>
      </c>
      <c r="J5" s="150">
        <f t="shared" si="0"/>
        <v>-16061.680943485684</v>
      </c>
      <c r="L5" s="111" t="s">
        <v>190</v>
      </c>
      <c r="M5" s="152">
        <f>J2+NPV(('Project Details'!F6+1)^(1/12)-1,Cashflow!J3:J62)</f>
        <v>240272.81710478559</v>
      </c>
      <c r="N5" s="109"/>
      <c r="O5" s="109"/>
    </row>
    <row r="6" spans="1:15" x14ac:dyDescent="0.2">
      <c r="A6" s="156">
        <f>(1+'Project Details'!$F$5)^(B6/12)</f>
        <v>1.0115331419494409</v>
      </c>
      <c r="B6" s="3">
        <v>4</v>
      </c>
      <c r="C6" s="150">
        <f>-'CR Finance Options'!K7</f>
        <v>-6676.8671951744136</v>
      </c>
      <c r="D6" s="34">
        <f>-A6*Electicity!$B$10</f>
        <v>-177.28088275950751</v>
      </c>
      <c r="E6" s="150">
        <f>-Cashflow!A6*'Project Details'!$C$14</f>
        <v>-2528.8328548736022</v>
      </c>
      <c r="F6" s="150">
        <f>IF(MOD(B6,12)=0,-A6*'Project Details'!$C$44,0)</f>
        <v>0</v>
      </c>
      <c r="G6" s="34">
        <f>-(Shipping!$H$24+Maintenance!$G$24)*Cashflow!A6</f>
        <v>-2819.6697067911905</v>
      </c>
      <c r="H6" s="34">
        <f>-Maintenance!$G$25*A6</f>
        <v>-3885.9731536557688</v>
      </c>
      <c r="I6" s="166">
        <f>IF(MOD(B6,12)=0,'Student Fee'!$E$5*A6,0)</f>
        <v>0</v>
      </c>
      <c r="J6" s="150">
        <f t="shared" si="0"/>
        <v>-16088.623793254481</v>
      </c>
      <c r="L6" s="111" t="s">
        <v>191</v>
      </c>
      <c r="M6" s="153">
        <f>-PMT('Project Details'!F6,'Project Details'!F4,Cashflow!M5)</f>
        <v>60177.877900850566</v>
      </c>
      <c r="N6" s="109"/>
      <c r="O6" s="109"/>
    </row>
    <row r="7" spans="1:15" x14ac:dyDescent="0.2">
      <c r="A7" s="156">
        <f>(1+'Project Details'!$F$5)^(B7/12)</f>
        <v>1.0144371511509671</v>
      </c>
      <c r="B7" s="3">
        <v>5</v>
      </c>
      <c r="C7" s="150">
        <f>-'CR Finance Options'!K8</f>
        <v>-6676.8671951744136</v>
      </c>
      <c r="D7" s="34">
        <f>-A7*Electicity!$B$10</f>
        <v>-177.78983821873854</v>
      </c>
      <c r="E7" s="150">
        <f>-Cashflow!A7*'Project Details'!$C$14</f>
        <v>-2536.0928778774178</v>
      </c>
      <c r="F7" s="150">
        <f>IF(MOD(B7,12)=0,-A7*'Project Details'!$C$44,0)</f>
        <v>0</v>
      </c>
      <c r="G7" s="34">
        <f>-(Shipping!$H$24+Maintenance!$G$24)*Cashflow!A7</f>
        <v>-2827.7646929406365</v>
      </c>
      <c r="H7" s="34">
        <f>-Maintenance!$G$25*A7</f>
        <v>-3897.1293890049651</v>
      </c>
      <c r="I7" s="166">
        <f>IF(MOD(B7,12)=0,'Student Fee'!$E$5*A7,0)</f>
        <v>0</v>
      </c>
      <c r="J7" s="150">
        <f t="shared" si="0"/>
        <v>-16115.643993216172</v>
      </c>
      <c r="L7" s="109"/>
      <c r="M7" s="109"/>
      <c r="N7" s="109"/>
      <c r="O7" s="109"/>
    </row>
    <row r="8" spans="1:15" x14ac:dyDescent="0.2">
      <c r="A8" s="156">
        <f>(1+'Project Details'!$F$5)^(B8/12)</f>
        <v>1.0173494974687902</v>
      </c>
      <c r="B8" s="3">
        <v>6</v>
      </c>
      <c r="C8" s="150">
        <f>-'CR Finance Options'!K9</f>
        <v>-6676.8671951744136</v>
      </c>
      <c r="D8" s="34">
        <f>-A8*Electicity!$B$10</f>
        <v>-178.30025483754557</v>
      </c>
      <c r="E8" s="150">
        <f>-Cashflow!A8*'Project Details'!$C$14</f>
        <v>-2543.3737436719757</v>
      </c>
      <c r="F8" s="150">
        <f>IF(MOD(B8,12)=0,-A8*'Project Details'!$C$44,0)</f>
        <v>0</v>
      </c>
      <c r="G8" s="34">
        <f>-(Shipping!$H$24+Maintenance!$G$24)*Cashflow!A8</f>
        <v>-2835.8829189754501</v>
      </c>
      <c r="H8" s="34">
        <f>-Maintenance!$G$25*A8</f>
        <v>-3908.3176527759356</v>
      </c>
      <c r="I8" s="166">
        <f>IF(MOD(B8,12)=0,'Student Fee'!$E$5*A8,0)</f>
        <v>0</v>
      </c>
      <c r="J8" s="150">
        <f t="shared" si="0"/>
        <v>-16142.741765435319</v>
      </c>
      <c r="L8" s="109"/>
      <c r="M8" s="109"/>
      <c r="N8" s="109"/>
      <c r="O8" s="109"/>
    </row>
    <row r="9" spans="1:15" x14ac:dyDescent="0.2">
      <c r="A9" s="156">
        <f>(1+'Project Details'!$F$5)^(B9/12)</f>
        <v>1.0202702048379266</v>
      </c>
      <c r="B9" s="3">
        <v>7</v>
      </c>
      <c r="C9" s="150">
        <f>-'CR Finance Options'!K10</f>
        <v>-6676.8671951744136</v>
      </c>
      <c r="D9" s="34">
        <f>-A9*Electicity!$B$10</f>
        <v>-178.81213681076972</v>
      </c>
      <c r="E9" s="150">
        <f>-Cashflow!A9*'Project Details'!$C$14</f>
        <v>-2550.6755120948164</v>
      </c>
      <c r="F9" s="150">
        <f>IF(MOD(B9,12)=0,-A9*'Project Details'!$C$44,0)</f>
        <v>0</v>
      </c>
      <c r="G9" s="34">
        <f>-(Shipping!$H$24+Maintenance!$G$24)*Cashflow!A9</f>
        <v>-2844.0244516149883</v>
      </c>
      <c r="H9" s="34">
        <f>-Maintenance!$G$25*A9</f>
        <v>-3919.5380369190348</v>
      </c>
      <c r="I9" s="166">
        <f>IF(MOD(B9,12)=0,'Student Fee'!$E$5*A9,0)</f>
        <v>0</v>
      </c>
      <c r="J9" s="150">
        <f t="shared" si="0"/>
        <v>-16169.917332614024</v>
      </c>
      <c r="L9" s="109"/>
      <c r="M9" s="109"/>
      <c r="N9" s="109"/>
      <c r="O9" s="109"/>
    </row>
    <row r="10" spans="1:15" x14ac:dyDescent="0.2">
      <c r="A10" s="156">
        <f>(1+'Project Details'!$F$5)^(B10/12)</f>
        <v>1.0231992972621078</v>
      </c>
      <c r="B10" s="3">
        <v>8</v>
      </c>
      <c r="C10" s="150">
        <f>-'CR Finance Options'!K11</f>
        <v>-6676.8671951744136</v>
      </c>
      <c r="D10" s="34">
        <f>-A10*Electicity!$B$10</f>
        <v>-179.3254883452951</v>
      </c>
      <c r="E10" s="150">
        <f>-Cashflow!A10*'Project Details'!$C$14</f>
        <v>-2557.9982431552694</v>
      </c>
      <c r="F10" s="150">
        <f>IF(MOD(B10,12)=0,-A10*'Project Details'!$C$44,0)</f>
        <v>0</v>
      </c>
      <c r="G10" s="34">
        <f>-(Shipping!$H$24+Maintenance!$G$24)*Cashflow!A10</f>
        <v>-2852.1893577701521</v>
      </c>
      <c r="H10" s="34">
        <f>-Maintenance!$G$25*A10</f>
        <v>-3930.7906336485971</v>
      </c>
      <c r="I10" s="166">
        <f>IF(MOD(B10,12)=0,'Student Fee'!$E$5*A10,0)</f>
        <v>0</v>
      </c>
      <c r="J10" s="150">
        <f t="shared" si="0"/>
        <v>-16197.170918093729</v>
      </c>
      <c r="L10" s="109"/>
      <c r="M10" s="109"/>
      <c r="N10" s="109"/>
      <c r="O10" s="109"/>
    </row>
    <row r="11" spans="1:15" x14ac:dyDescent="0.2">
      <c r="A11" s="156">
        <f>(1+'Project Details'!$F$5)^(B11/12)</f>
        <v>1.0261367988139778</v>
      </c>
      <c r="B11" s="3">
        <v>9</v>
      </c>
      <c r="C11" s="150">
        <f>-'CR Finance Options'!K12</f>
        <v>-6676.8671951744136</v>
      </c>
      <c r="D11" s="34">
        <f>-A11*Electicity!$B$10</f>
        <v>-179.84031366008341</v>
      </c>
      <c r="E11" s="150">
        <f>-Cashflow!A11*'Project Details'!$C$14</f>
        <v>-2565.3419970349446</v>
      </c>
      <c r="F11" s="150">
        <f>IF(MOD(B11,12)=0,-A11*'Project Details'!$C$44,0)</f>
        <v>0</v>
      </c>
      <c r="G11" s="34">
        <f>-(Shipping!$H$24+Maintenance!$G$24)*Cashflow!A11</f>
        <v>-2860.3777045439388</v>
      </c>
      <c r="H11" s="34">
        <f>-Maintenance!$G$25*A11</f>
        <v>-3942.0755354436978</v>
      </c>
      <c r="I11" s="166">
        <f>IF(MOD(B11,12)=0,'Student Fee'!$E$5*A11,0)</f>
        <v>0</v>
      </c>
      <c r="J11" s="150">
        <f t="shared" si="0"/>
        <v>-16224.502745857077</v>
      </c>
      <c r="L11" s="109"/>
      <c r="M11" s="109"/>
      <c r="N11" s="109"/>
      <c r="O11" s="109"/>
    </row>
    <row r="12" spans="1:15" x14ac:dyDescent="0.2">
      <c r="A12" s="156">
        <f>(1+'Project Details'!$F$5)^(B12/12)</f>
        <v>1.0290827336352901</v>
      </c>
      <c r="B12" s="3">
        <v>10</v>
      </c>
      <c r="C12" s="150">
        <f>-'CR Finance Options'!K13</f>
        <v>-6676.8671951744136</v>
      </c>
      <c r="D12" s="34">
        <f>-A12*Electicity!$B$10</f>
        <v>-180.35661698620848</v>
      </c>
      <c r="E12" s="150">
        <f>-Cashflow!A12*'Project Details'!$C$14</f>
        <v>-2572.7068340882252</v>
      </c>
      <c r="F12" s="150">
        <f>IF(MOD(B12,12)=0,-A12*'Project Details'!$C$44,0)</f>
        <v>0</v>
      </c>
      <c r="G12" s="34">
        <f>-(Shipping!$H$24+Maintenance!$G$24)*Cashflow!A12</f>
        <v>-2868.5895592319889</v>
      </c>
      <c r="H12" s="34">
        <f>-Maintenance!$G$25*A12</f>
        <v>-3953.3928350489059</v>
      </c>
      <c r="I12" s="166">
        <f>IF(MOD(B12,12)=0,'Student Fee'!$E$5*A12,0)</f>
        <v>0</v>
      </c>
      <c r="J12" s="150">
        <f t="shared" si="0"/>
        <v>-16251.913040529742</v>
      </c>
      <c r="L12" s="109"/>
      <c r="M12" s="109"/>
      <c r="N12" s="109"/>
      <c r="O12" s="109"/>
    </row>
    <row r="13" spans="1:15" x14ac:dyDescent="0.2">
      <c r="A13" s="156">
        <f>(1+'Project Details'!$F$5)^(B13/12)</f>
        <v>1.0320371259371075</v>
      </c>
      <c r="B13" s="3">
        <v>11</v>
      </c>
      <c r="C13" s="150">
        <f>-'CR Finance Options'!K14</f>
        <v>-6676.8671951744136</v>
      </c>
      <c r="D13" s="34">
        <f>-A13*Electicity!$B$10</f>
        <v>-180.87440256689115</v>
      </c>
      <c r="E13" s="150">
        <f>-Cashflow!A13*'Project Details'!$C$14</f>
        <v>-2580.0928148427688</v>
      </c>
      <c r="F13" s="150">
        <f>IF(MOD(B13,12)=0,-A13*'Project Details'!$C$44,0)</f>
        <v>0</v>
      </c>
      <c r="G13" s="34">
        <f>-(Shipping!$H$24+Maintenance!$G$24)*Cashflow!A13</f>
        <v>-2876.8249893231446</v>
      </c>
      <c r="H13" s="34">
        <f>-Maintenance!$G$25*A13</f>
        <v>-3964.7426254750544</v>
      </c>
      <c r="I13" s="166">
        <f>IF(MOD(B13,12)=0,'Student Fee'!$E$5*A13,0)</f>
        <v>0</v>
      </c>
      <c r="J13" s="150">
        <f t="shared" si="0"/>
        <v>-16279.402027382272</v>
      </c>
      <c r="L13" s="109"/>
      <c r="M13" s="109"/>
      <c r="N13" s="109"/>
      <c r="O13" s="109"/>
    </row>
    <row r="14" spans="1:15" x14ac:dyDescent="0.2">
      <c r="A14" s="156">
        <f>(1+'Project Details'!$F$5)^(B14/12)</f>
        <v>1.0349999999999999</v>
      </c>
      <c r="B14" s="3">
        <v>12</v>
      </c>
      <c r="C14" s="150">
        <f>-'CR Finance Options'!K15</f>
        <v>-6676.8671951744136</v>
      </c>
      <c r="D14" s="34">
        <f>-A14*Electicity!$B$10</f>
        <v>-181.39367465753421</v>
      </c>
      <c r="E14" s="150">
        <f>-Cashflow!A14*'Project Details'!$C$14</f>
        <v>-2587.5</v>
      </c>
      <c r="F14" s="150">
        <f>IF(MOD(B14,12)=0,-A14*'Project Details'!$C$44,0)</f>
        <v>-2587.5</v>
      </c>
      <c r="G14" s="34">
        <f>-(Shipping!$H$24+Maintenance!$G$24)*Cashflow!A14</f>
        <v>-2885.0840625000001</v>
      </c>
      <c r="H14" s="34">
        <f>-Maintenance!$G$25*A14</f>
        <v>-3976.1249999999995</v>
      </c>
      <c r="I14" s="166">
        <f>IF(MOD(B14,12)=0,'Student Fee'!$E$5*A14,0)</f>
        <v>234737.99999999997</v>
      </c>
      <c r="J14" s="150">
        <f t="shared" si="0"/>
        <v>215843.53006766803</v>
      </c>
      <c r="L14" s="109"/>
      <c r="M14" s="109"/>
      <c r="N14" s="109"/>
      <c r="O14" s="109"/>
    </row>
    <row r="15" spans="1:15" x14ac:dyDescent="0.2">
      <c r="A15" s="156">
        <f>(1+'Project Details'!$F$5)^(B15/12)</f>
        <v>1.0379713801742443</v>
      </c>
      <c r="B15" s="3">
        <v>13</v>
      </c>
      <c r="C15" s="150">
        <f>-'CR Finance Options'!K16</f>
        <v>-6676.8671951744136</v>
      </c>
      <c r="D15" s="34">
        <f>-A15*Electicity!$B$10</f>
        <v>-181.91443752575714</v>
      </c>
      <c r="E15" s="150">
        <f>-Cashflow!A15*'Project Details'!$C$14</f>
        <v>-2594.9284504356106</v>
      </c>
      <c r="F15" s="150">
        <f>IF(MOD(B15,12)=0,-A15*'Project Details'!$C$44,0)</f>
        <v>0</v>
      </c>
      <c r="G15" s="34">
        <f>-(Shipping!$H$24+Maintenance!$G$24)*Cashflow!A15</f>
        <v>-2893.3668466394597</v>
      </c>
      <c r="H15" s="34">
        <f>-Maintenance!$G$25*A15</f>
        <v>-3987.5400521693882</v>
      </c>
      <c r="I15" s="166">
        <f>IF(MOD(B15,12)=0,'Student Fee'!$E$5*A15,0)</f>
        <v>0</v>
      </c>
      <c r="J15" s="150">
        <f t="shared" si="0"/>
        <v>-16334.61698194463</v>
      </c>
    </row>
    <row r="16" spans="1:15" x14ac:dyDescent="0.2">
      <c r="A16" s="156">
        <f>(1+'Project Details'!$F$5)^(B16/12)</f>
        <v>1.0409512908800247</v>
      </c>
      <c r="B16" s="3">
        <v>14</v>
      </c>
      <c r="C16" s="150">
        <f>-'CR Finance Options'!K17</f>
        <v>-6676.8671951744136</v>
      </c>
      <c r="D16" s="34">
        <f>-A16*Electicity!$B$10</f>
        <v>-182.43669545143138</v>
      </c>
      <c r="E16" s="150">
        <f>-Cashflow!A16*'Project Details'!$C$14</f>
        <v>-2602.3782272000617</v>
      </c>
      <c r="F16" s="150">
        <f>IF(MOD(B16,12)=0,-A16*'Project Details'!$C$44,0)</f>
        <v>0</v>
      </c>
      <c r="G16" s="34">
        <f>-(Shipping!$H$24+Maintenance!$G$24)*Cashflow!A16</f>
        <v>-2901.6734098132956</v>
      </c>
      <c r="H16" s="34">
        <f>-Maintenance!$G$25*A16</f>
        <v>-3998.9878757974279</v>
      </c>
      <c r="I16" s="166">
        <f>IF(MOD(B16,12)=0,'Student Fee'!$E$5*A16,0)</f>
        <v>0</v>
      </c>
      <c r="J16" s="150">
        <f t="shared" si="0"/>
        <v>-16362.343403436631</v>
      </c>
    </row>
    <row r="17" spans="1:10" x14ac:dyDescent="0.2">
      <c r="A17" s="156">
        <f>(1+'Project Details'!$F$5)^(B17/12)</f>
        <v>1.0439397566076332</v>
      </c>
      <c r="B17" s="3">
        <v>15</v>
      </c>
      <c r="C17" s="150">
        <f>-'CR Finance Options'!K18</f>
        <v>-6676.8671951744136</v>
      </c>
      <c r="D17" s="34">
        <f>-A17*Electicity!$B$10</f>
        <v>-182.96045272671543</v>
      </c>
      <c r="E17" s="150">
        <f>-Cashflow!A17*'Project Details'!$C$14</f>
        <v>-2609.8493915190829</v>
      </c>
      <c r="F17" s="150">
        <f>IF(MOD(B17,12)=0,-A17*'Project Details'!$C$44,0)</f>
        <v>0</v>
      </c>
      <c r="G17" s="34">
        <f>-(Shipping!$H$24+Maintenance!$G$24)*Cashflow!A17</f>
        <v>-2910.0038202887067</v>
      </c>
      <c r="H17" s="34">
        <f>-Maintenance!$G$25*A17</f>
        <v>-4010.4685649676571</v>
      </c>
      <c r="I17" s="166">
        <f>IF(MOD(B17,12)=0,'Student Fee'!$E$5*A17,0)</f>
        <v>0</v>
      </c>
      <c r="J17" s="150">
        <f t="shared" si="0"/>
        <v>-16390.149424676576</v>
      </c>
    </row>
    <row r="18" spans="1:10" x14ac:dyDescent="0.2">
      <c r="A18" s="156">
        <f>(1+'Project Details'!$F$5)^(B18/12)</f>
        <v>1.0469368019176712</v>
      </c>
      <c r="B18" s="3">
        <v>16</v>
      </c>
      <c r="C18" s="150">
        <f>-'CR Finance Options'!K19</f>
        <v>-6676.8671951744136</v>
      </c>
      <c r="D18" s="34">
        <f>-A18*Electicity!$B$10</f>
        <v>-183.48571365609024</v>
      </c>
      <c r="E18" s="150">
        <f>-Cashflow!A18*'Project Details'!$C$14</f>
        <v>-2617.3420047941781</v>
      </c>
      <c r="F18" s="150">
        <f>IF(MOD(B18,12)=0,-A18*'Project Details'!$C$44,0)</f>
        <v>0</v>
      </c>
      <c r="G18" s="34">
        <f>-(Shipping!$H$24+Maintenance!$G$24)*Cashflow!A18</f>
        <v>-2918.3581465288821</v>
      </c>
      <c r="H18" s="34">
        <f>-Maintenance!$G$25*A18</f>
        <v>-4021.9822140337201</v>
      </c>
      <c r="I18" s="166">
        <f>IF(MOD(B18,12)=0,'Student Fee'!$E$5*A18,0)</f>
        <v>0</v>
      </c>
      <c r="J18" s="150">
        <f t="shared" si="0"/>
        <v>-16418.035274187285</v>
      </c>
    </row>
    <row r="19" spans="1:10" x14ac:dyDescent="0.2">
      <c r="A19" s="156">
        <f>(1+'Project Details'!$F$5)^(B19/12)</f>
        <v>1.049942451441251</v>
      </c>
      <c r="B19" s="3">
        <v>17</v>
      </c>
      <c r="C19" s="150">
        <f>-'CR Finance Options'!K20</f>
        <v>-6676.8671951744136</v>
      </c>
      <c r="D19" s="34">
        <f>-A19*Electicity!$B$10</f>
        <v>-184.01248255639439</v>
      </c>
      <c r="E19" s="150">
        <f>-Cashflow!A19*'Project Details'!$C$14</f>
        <v>-2624.8561286031277</v>
      </c>
      <c r="F19" s="150">
        <f>IF(MOD(B19,12)=0,-A19*'Project Details'!$C$44,0)</f>
        <v>0</v>
      </c>
      <c r="G19" s="34">
        <f>-(Shipping!$H$24+Maintenance!$G$24)*Cashflow!A19</f>
        <v>-2926.7364571935591</v>
      </c>
      <c r="H19" s="34">
        <f>-Maintenance!$G$25*A19</f>
        <v>-4033.5289176201391</v>
      </c>
      <c r="I19" s="166">
        <f>IF(MOD(B19,12)=0,'Student Fee'!$E$5*A19,0)</f>
        <v>0</v>
      </c>
      <c r="J19" s="150">
        <f t="shared" si="0"/>
        <v>-16446.001181147636</v>
      </c>
    </row>
    <row r="20" spans="1:10" x14ac:dyDescent="0.2">
      <c r="A20" s="156">
        <f>(1+'Project Details'!$F$5)^(B20/12)</f>
        <v>1.0529567298801978</v>
      </c>
      <c r="B20" s="3">
        <v>18</v>
      </c>
      <c r="C20" s="150">
        <f>-'CR Finance Options'!K21</f>
        <v>-6676.8671951744136</v>
      </c>
      <c r="D20" s="34">
        <f>-A20*Electicity!$B$10</f>
        <v>-184.54076375685966</v>
      </c>
      <c r="E20" s="150">
        <f>-Cashflow!A20*'Project Details'!$C$14</f>
        <v>-2632.3918247004945</v>
      </c>
      <c r="F20" s="150">
        <f>IF(MOD(B20,12)=0,-A20*'Project Details'!$C$44,0)</f>
        <v>0</v>
      </c>
      <c r="G20" s="34">
        <f>-(Shipping!$H$24+Maintenance!$G$24)*Cashflow!A20</f>
        <v>-2935.1388211395906</v>
      </c>
      <c r="H20" s="34">
        <f>-Maintenance!$G$25*A20</f>
        <v>-4045.1087706230933</v>
      </c>
      <c r="I20" s="166">
        <f>IF(MOD(B20,12)=0,'Student Fee'!$E$5*A20,0)</f>
        <v>0</v>
      </c>
      <c r="J20" s="150">
        <f t="shared" si="0"/>
        <v>-16474.047375394453</v>
      </c>
    </row>
    <row r="21" spans="1:10" x14ac:dyDescent="0.2">
      <c r="A21" s="156">
        <f>(1+'Project Details'!$F$5)^(B21/12)</f>
        <v>1.0559796620072539</v>
      </c>
      <c r="B21" s="3">
        <v>19</v>
      </c>
      <c r="C21" s="150">
        <f>-'CR Finance Options'!K22</f>
        <v>-6676.8671951744136</v>
      </c>
      <c r="D21" s="34">
        <f>-A21*Electicity!$B$10</f>
        <v>-185.07056159914663</v>
      </c>
      <c r="E21" s="150">
        <f>-Cashflow!A21*'Project Details'!$C$14</f>
        <v>-2639.9491550181347</v>
      </c>
      <c r="F21" s="150">
        <f>IF(MOD(B21,12)=0,-A21*'Project Details'!$C$44,0)</f>
        <v>0</v>
      </c>
      <c r="G21" s="34">
        <f>-(Shipping!$H$24+Maintenance!$G$24)*Cashflow!A21</f>
        <v>-2943.5653074215124</v>
      </c>
      <c r="H21" s="34">
        <f>-Maintenance!$G$25*A21</f>
        <v>-4056.7218682112002</v>
      </c>
      <c r="I21" s="166">
        <f>IF(MOD(B21,12)=0,'Student Fee'!$E$5*A21,0)</f>
        <v>0</v>
      </c>
      <c r="J21" s="150">
        <f t="shared" si="0"/>
        <v>-16502.174087424406</v>
      </c>
    </row>
    <row r="22" spans="1:10" x14ac:dyDescent="0.2">
      <c r="A22" s="156">
        <f>(1+'Project Details'!$F$5)^(B22/12)</f>
        <v>1.0590112726662815</v>
      </c>
      <c r="B22" s="3">
        <v>20</v>
      </c>
      <c r="C22" s="150">
        <f>-'CR Finance Options'!K23</f>
        <v>-6676.8671951744136</v>
      </c>
      <c r="D22" s="34">
        <f>-A22*Electicity!$B$10</f>
        <v>-185.6018804373804</v>
      </c>
      <c r="E22" s="150">
        <f>-Cashflow!A22*'Project Details'!$C$14</f>
        <v>-2647.5281816657039</v>
      </c>
      <c r="F22" s="150">
        <f>IF(MOD(B22,12)=0,-A22*'Project Details'!$C$44,0)</f>
        <v>0</v>
      </c>
      <c r="G22" s="34">
        <f>-(Shipping!$H$24+Maintenance!$G$24)*Cashflow!A22</f>
        <v>-2952.015985292107</v>
      </c>
      <c r="H22" s="34">
        <f>-Maintenance!$G$25*A22</f>
        <v>-4068.3683058262977</v>
      </c>
      <c r="I22" s="166">
        <f>IF(MOD(B22,12)=0,'Student Fee'!$E$5*A22,0)</f>
        <v>0</v>
      </c>
      <c r="J22" s="150">
        <f t="shared" si="0"/>
        <v>-16530.381548395904</v>
      </c>
    </row>
    <row r="23" spans="1:10" x14ac:dyDescent="0.2">
      <c r="A23" s="156">
        <f>(1+'Project Details'!$F$5)^(B23/12)</f>
        <v>1.0620515867724669</v>
      </c>
      <c r="B23" s="3">
        <v>21</v>
      </c>
      <c r="C23" s="150">
        <f>-'CR Finance Options'!K24</f>
        <v>-6676.8671951744136</v>
      </c>
      <c r="D23" s="34">
        <f>-A23*Electicity!$B$10</f>
        <v>-186.13472463818633</v>
      </c>
      <c r="E23" s="150">
        <f>-Cashflow!A23*'Project Details'!$C$14</f>
        <v>-2655.1289669311673</v>
      </c>
      <c r="F23" s="150">
        <f>IF(MOD(B23,12)=0,-A23*'Project Details'!$C$44,0)</f>
        <v>0</v>
      </c>
      <c r="G23" s="34">
        <f>-(Shipping!$H$24+Maintenance!$G$24)*Cashflow!A23</f>
        <v>-2960.4909242029762</v>
      </c>
      <c r="H23" s="34">
        <f>-Maintenance!$G$25*A23</f>
        <v>-4080.0481791842267</v>
      </c>
      <c r="I23" s="166">
        <f>IF(MOD(B23,12)=0,'Student Fee'!$E$5*A23,0)</f>
        <v>0</v>
      </c>
      <c r="J23" s="150">
        <f t="shared" si="0"/>
        <v>-16558.669990130969</v>
      </c>
    </row>
    <row r="24" spans="1:10" x14ac:dyDescent="0.2">
      <c r="A24" s="156">
        <f>(1+'Project Details'!$F$5)^(B24/12)</f>
        <v>1.0651006293125251</v>
      </c>
      <c r="B24" s="3">
        <v>22</v>
      </c>
      <c r="C24" s="150">
        <f>-'CR Finance Options'!K25</f>
        <v>-6676.8671951744136</v>
      </c>
      <c r="D24" s="34">
        <f>-A24*Electicity!$B$10</f>
        <v>-186.66909858072574</v>
      </c>
      <c r="E24" s="150">
        <f>-Cashflow!A24*'Project Details'!$C$14</f>
        <v>-2662.7515732813126</v>
      </c>
      <c r="F24" s="150">
        <f>IF(MOD(B24,12)=0,-A24*'Project Details'!$C$44,0)</f>
        <v>0</v>
      </c>
      <c r="G24" s="34">
        <f>-(Shipping!$H$24+Maintenance!$G$24)*Cashflow!A24</f>
        <v>-2968.990193805108</v>
      </c>
      <c r="H24" s="34">
        <f>-Maintenance!$G$25*A24</f>
        <v>-4091.7615842756172</v>
      </c>
      <c r="I24" s="166">
        <f>IF(MOD(B24,12)=0,'Student Fee'!$E$5*A24,0)</f>
        <v>0</v>
      </c>
      <c r="J24" s="150">
        <f t="shared" si="0"/>
        <v>-16587.039645117176</v>
      </c>
    </row>
    <row r="25" spans="1:10" x14ac:dyDescent="0.2">
      <c r="A25" s="156">
        <f>(1+'Project Details'!$F$5)^(B25/12)</f>
        <v>1.0681584253449063</v>
      </c>
      <c r="B25" s="3">
        <v>23</v>
      </c>
      <c r="C25" s="150">
        <f>-'CR Finance Options'!K26</f>
        <v>-6676.8671951744136</v>
      </c>
      <c r="D25" s="34">
        <f>-A25*Electicity!$B$10</f>
        <v>-187.20500665673237</v>
      </c>
      <c r="E25" s="150">
        <f>-Cashflow!A25*'Project Details'!$C$14</f>
        <v>-2670.396063362266</v>
      </c>
      <c r="F25" s="150">
        <f>IF(MOD(B25,12)=0,-A25*'Project Details'!$C$44,0)</f>
        <v>0</v>
      </c>
      <c r="G25" s="34">
        <f>-(Shipping!$H$24+Maintenance!$G$24)*Cashflow!A25</f>
        <v>-2977.5138639494548</v>
      </c>
      <c r="H25" s="34">
        <f>-Maintenance!$G$25*A25</f>
        <v>-4103.5086173666814</v>
      </c>
      <c r="I25" s="166">
        <f>IF(MOD(B25,12)=0,'Student Fee'!$E$5*A25,0)</f>
        <v>0</v>
      </c>
      <c r="J25" s="150">
        <f t="shared" si="0"/>
        <v>-16615.490746509549</v>
      </c>
    </row>
    <row r="26" spans="1:10" x14ac:dyDescent="0.2">
      <c r="A26" s="156">
        <f>(1+'Project Details'!$F$5)^(B26/12)</f>
        <v>1.0712249999999999</v>
      </c>
      <c r="B26" s="3">
        <v>24</v>
      </c>
      <c r="C26" s="150">
        <f>-'CR Finance Options'!K27</f>
        <v>-6676.8671951744136</v>
      </c>
      <c r="D26" s="34">
        <f>-A26*Electicity!$B$10</f>
        <v>-187.74245327054788</v>
      </c>
      <c r="E26" s="150">
        <f>-Cashflow!A26*'Project Details'!$C$14</f>
        <v>-2678.0624999999995</v>
      </c>
      <c r="F26" s="150">
        <f>IF(MOD(B26,12)=0,-A26*'Project Details'!$C$44,0)</f>
        <v>-2678.0624999999995</v>
      </c>
      <c r="G26" s="34">
        <f>-(Shipping!$H$24+Maintenance!$G$24)*Cashflow!A26</f>
        <v>-2986.0620046874997</v>
      </c>
      <c r="H26" s="34">
        <f>-Maintenance!$G$25*A26</f>
        <v>-4115.2893749999994</v>
      </c>
      <c r="I26" s="166">
        <f>IF(MOD(B26,12)=0,'Student Fee'!$E$5*A26,0)</f>
        <v>242953.82999999996</v>
      </c>
      <c r="J26" s="150">
        <f t="shared" si="0"/>
        <v>223631.74397186749</v>
      </c>
    </row>
    <row r="27" spans="1:10" x14ac:dyDescent="0.2">
      <c r="A27" s="156">
        <f>(1+'Project Details'!$F$5)^(B27/12)</f>
        <v>1.0743003784803427</v>
      </c>
      <c r="B27" s="3">
        <v>25</v>
      </c>
      <c r="C27" s="150">
        <f>-'CR Finance Options'!K28</f>
        <v>-6676.8671951744136</v>
      </c>
      <c r="D27" s="34">
        <f>-A27*Electicity!$B$10</f>
        <v>-188.28144283915861</v>
      </c>
      <c r="E27" s="150">
        <f>-Cashflow!A27*'Project Details'!$C$14</f>
        <v>-2685.7509462008566</v>
      </c>
      <c r="F27" s="150">
        <f>IF(MOD(B27,12)=0,-A27*'Project Details'!$C$44,0)</f>
        <v>0</v>
      </c>
      <c r="G27" s="34">
        <f>-(Shipping!$H$24+Maintenance!$G$24)*Cashflow!A27</f>
        <v>-2994.6346862718401</v>
      </c>
      <c r="H27" s="34">
        <f>-Maintenance!$G$25*A27</f>
        <v>-4127.1039539953163</v>
      </c>
      <c r="I27" s="166">
        <f>IF(MOD(B27,12)=0,'Student Fee'!$E$5*A27,0)</f>
        <v>0</v>
      </c>
      <c r="J27" s="150">
        <f t="shared" si="0"/>
        <v>-16672.638224481583</v>
      </c>
    </row>
    <row r="28" spans="1:10" x14ac:dyDescent="0.2">
      <c r="A28" s="156">
        <f>(1+'Project Details'!$F$5)^(B28/12)</f>
        <v>1.0773845860608253</v>
      </c>
      <c r="B28" s="3">
        <v>26</v>
      </c>
      <c r="C28" s="150">
        <f>-'CR Finance Options'!K29</f>
        <v>-6676.8671951744136</v>
      </c>
      <c r="D28" s="34">
        <f>-A28*Electicity!$B$10</f>
        <v>-188.82197979223142</v>
      </c>
      <c r="E28" s="150">
        <f>-Cashflow!A28*'Project Details'!$C$14</f>
        <v>-2693.4614651520633</v>
      </c>
      <c r="F28" s="150">
        <f>IF(MOD(B28,12)=0,-A28*'Project Details'!$C$44,0)</f>
        <v>0</v>
      </c>
      <c r="G28" s="34">
        <f>-(Shipping!$H$24+Maintenance!$G$24)*Cashflow!A28</f>
        <v>-3003.2319791567602</v>
      </c>
      <c r="H28" s="34">
        <f>-Maintenance!$G$25*A28</f>
        <v>-4138.9524514503373</v>
      </c>
      <c r="I28" s="166">
        <f>IF(MOD(B28,12)=0,'Student Fee'!$E$5*A28,0)</f>
        <v>0</v>
      </c>
      <c r="J28" s="150">
        <f t="shared" si="0"/>
        <v>-16701.335070725807</v>
      </c>
    </row>
    <row r="29" spans="1:10" x14ac:dyDescent="0.2">
      <c r="A29" s="156">
        <f>(1+'Project Details'!$F$5)^(B29/12)</f>
        <v>1.0804776480889005</v>
      </c>
      <c r="B29" s="3">
        <v>27</v>
      </c>
      <c r="C29" s="150">
        <f>-'CR Finance Options'!K30</f>
        <v>-6676.8671951744136</v>
      </c>
      <c r="D29" s="34">
        <f>-A29*Electicity!$B$10</f>
        <v>-189.3640685721505</v>
      </c>
      <c r="E29" s="150">
        <f>-Cashflow!A29*'Project Details'!$C$14</f>
        <v>-2701.1941202222511</v>
      </c>
      <c r="F29" s="150">
        <f>IF(MOD(B29,12)=0,-A29*'Project Details'!$C$44,0)</f>
        <v>0</v>
      </c>
      <c r="G29" s="34">
        <f>-(Shipping!$H$24+Maintenance!$G$24)*Cashflow!A29</f>
        <v>-3011.8539539988119</v>
      </c>
      <c r="H29" s="34">
        <f>-Maintenance!$G$25*A29</f>
        <v>-4150.8349647415262</v>
      </c>
      <c r="I29" s="166">
        <f>IF(MOD(B29,12)=0,'Student Fee'!$E$5*A29,0)</f>
        <v>0</v>
      </c>
      <c r="J29" s="150">
        <f t="shared" si="0"/>
        <v>-16730.114302709153</v>
      </c>
    </row>
    <row r="30" spans="1:10" x14ac:dyDescent="0.2">
      <c r="A30" s="156">
        <f>(1+'Project Details'!$F$5)^(B30/12)</f>
        <v>1.0835795899847898</v>
      </c>
      <c r="B30" s="3">
        <v>28</v>
      </c>
      <c r="C30" s="150">
        <f>-'CR Finance Options'!K31</f>
        <v>-6676.8671951744136</v>
      </c>
      <c r="D30" s="34">
        <f>-A30*Electicity!$B$10</f>
        <v>-189.90771363405341</v>
      </c>
      <c r="E30" s="150">
        <f>-Cashflow!A30*'Project Details'!$C$14</f>
        <v>-2708.9489749619743</v>
      </c>
      <c r="F30" s="150">
        <f>IF(MOD(B30,12)=0,-A30*'Project Details'!$C$44,0)</f>
        <v>0</v>
      </c>
      <c r="G30" s="34">
        <f>-(Shipping!$H$24+Maintenance!$G$24)*Cashflow!A30</f>
        <v>-3020.5006816573928</v>
      </c>
      <c r="H30" s="34">
        <f>-Maintenance!$G$25*A30</f>
        <v>-4162.7515915249005</v>
      </c>
      <c r="I30" s="166">
        <f>IF(MOD(B30,12)=0,'Student Fee'!$E$5*A30,0)</f>
        <v>0</v>
      </c>
      <c r="J30" s="150">
        <f t="shared" si="0"/>
        <v>-16758.976156952736</v>
      </c>
    </row>
    <row r="31" spans="1:10" x14ac:dyDescent="0.2">
      <c r="A31" s="156">
        <f>(1+'Project Details'!$F$5)^(B31/12)</f>
        <v>1.0866904372416946</v>
      </c>
      <c r="B31" s="3">
        <v>29</v>
      </c>
      <c r="C31" s="150">
        <f>-'CR Finance Options'!K32</f>
        <v>-6676.8671951744136</v>
      </c>
      <c r="D31" s="34">
        <f>-A31*Electicity!$B$10</f>
        <v>-190.45291944586816</v>
      </c>
      <c r="E31" s="150">
        <f>-Cashflow!A31*'Project Details'!$C$14</f>
        <v>-2716.7260931042365</v>
      </c>
      <c r="F31" s="150">
        <f>IF(MOD(B31,12)=0,-A31*'Project Details'!$C$44,0)</f>
        <v>0</v>
      </c>
      <c r="G31" s="34">
        <f>-(Shipping!$H$24+Maintenance!$G$24)*Cashflow!A31</f>
        <v>-3029.1722331953329</v>
      </c>
      <c r="H31" s="34">
        <f>-Maintenance!$G$25*A31</f>
        <v>-4174.7024297368434</v>
      </c>
      <c r="I31" s="166">
        <f>IF(MOD(B31,12)=0,'Student Fee'!$E$5*A31,0)</f>
        <v>0</v>
      </c>
      <c r="J31" s="150">
        <f t="shared" si="0"/>
        <v>-16787.920870656693</v>
      </c>
    </row>
    <row r="32" spans="1:10" x14ac:dyDescent="0.2">
      <c r="A32" s="156">
        <f>(1+'Project Details'!$F$5)^(B32/12)</f>
        <v>1.0898102154260045</v>
      </c>
      <c r="B32" s="3">
        <v>30</v>
      </c>
      <c r="C32" s="150">
        <f>-'CR Finance Options'!K33</f>
        <v>-6676.8671951744136</v>
      </c>
      <c r="D32" s="34">
        <f>-A32*Electicity!$B$10</f>
        <v>-190.9996904883497</v>
      </c>
      <c r="E32" s="150">
        <f>-Cashflow!A32*'Project Details'!$C$14</f>
        <v>-2724.5255385650112</v>
      </c>
      <c r="F32" s="150">
        <f>IF(MOD(B32,12)=0,-A32*'Project Details'!$C$44,0)</f>
        <v>0</v>
      </c>
      <c r="G32" s="34">
        <f>-(Shipping!$H$24+Maintenance!$G$24)*Cashflow!A32</f>
        <v>-3037.8686798794761</v>
      </c>
      <c r="H32" s="34">
        <f>-Maintenance!$G$25*A32</f>
        <v>-4186.6875775949002</v>
      </c>
      <c r="I32" s="166">
        <f>IF(MOD(B32,12)=0,'Student Fee'!$E$5*A32,0)</f>
        <v>0</v>
      </c>
      <c r="J32" s="150">
        <f t="shared" si="0"/>
        <v>-16816.948681702153</v>
      </c>
    </row>
    <row r="33" spans="1:10" x14ac:dyDescent="0.2">
      <c r="A33" s="156">
        <f>(1+'Project Details'!$F$5)^(B33/12)</f>
        <v>1.0929389501775078</v>
      </c>
      <c r="B33" s="3">
        <v>31</v>
      </c>
      <c r="C33" s="150">
        <f>-'CR Finance Options'!K34</f>
        <v>-6676.8671951744136</v>
      </c>
      <c r="D33" s="34">
        <f>-A33*Electicity!$B$10</f>
        <v>-191.54803125511677</v>
      </c>
      <c r="E33" s="150">
        <f>-Cashflow!A33*'Project Details'!$C$14</f>
        <v>-2732.3473754437696</v>
      </c>
      <c r="F33" s="150">
        <f>IF(MOD(B33,12)=0,-A33*'Project Details'!$C$44,0)</f>
        <v>0</v>
      </c>
      <c r="G33" s="34">
        <f>-(Shipping!$H$24+Maintenance!$G$24)*Cashflow!A33</f>
        <v>-3046.5900931812653</v>
      </c>
      <c r="H33" s="34">
        <f>-Maintenance!$G$25*A33</f>
        <v>-4198.707133598592</v>
      </c>
      <c r="I33" s="166">
        <f>IF(MOD(B33,12)=0,'Student Fee'!$E$5*A33,0)</f>
        <v>0</v>
      </c>
      <c r="J33" s="150">
        <f t="shared" si="0"/>
        <v>-16846.059828653157</v>
      </c>
    </row>
    <row r="34" spans="1:10" x14ac:dyDescent="0.2">
      <c r="A34" s="156">
        <f>(1+'Project Details'!$F$5)^(B34/12)</f>
        <v>1.0960766672096012</v>
      </c>
      <c r="B34" s="3">
        <v>32</v>
      </c>
      <c r="C34" s="150">
        <f>-'CR Finance Options'!K35</f>
        <v>-6676.8671951744136</v>
      </c>
      <c r="D34" s="34">
        <f>-A34*Electicity!$B$10</f>
        <v>-192.0979462526887</v>
      </c>
      <c r="E34" s="150">
        <f>-Cashflow!A34*'Project Details'!$C$14</f>
        <v>-2740.1916680240029</v>
      </c>
      <c r="F34" s="150">
        <f>IF(MOD(B34,12)=0,-A34*'Project Details'!$C$44,0)</f>
        <v>0</v>
      </c>
      <c r="G34" s="34">
        <f>-(Shipping!$H$24+Maintenance!$G$24)*Cashflow!A34</f>
        <v>-3055.3365447773303</v>
      </c>
      <c r="H34" s="34">
        <f>-Maintenance!$G$25*A34</f>
        <v>-4210.7611965302176</v>
      </c>
      <c r="I34" s="166">
        <f>IF(MOD(B34,12)=0,'Student Fee'!$E$5*A34,0)</f>
        <v>0</v>
      </c>
      <c r="J34" s="150">
        <f t="shared" si="0"/>
        <v>-16875.254550758655</v>
      </c>
    </row>
    <row r="35" spans="1:10" x14ac:dyDescent="0.2">
      <c r="A35" s="156">
        <f>(1+'Project Details'!$F$5)^(B35/12)</f>
        <v>1.0992233923095032</v>
      </c>
      <c r="B35" s="3">
        <v>33</v>
      </c>
      <c r="C35" s="150">
        <f>-'CR Finance Options'!K36</f>
        <v>-6676.8671951744136</v>
      </c>
      <c r="D35" s="34">
        <f>-A35*Electicity!$B$10</f>
        <v>-192.64944000052282</v>
      </c>
      <c r="E35" s="150">
        <f>-Cashflow!A35*'Project Details'!$C$14</f>
        <v>-2748.0584807737578</v>
      </c>
      <c r="F35" s="150">
        <f>IF(MOD(B35,12)=0,-A35*'Project Details'!$C$44,0)</f>
        <v>0</v>
      </c>
      <c r="G35" s="34">
        <f>-(Shipping!$H$24+Maintenance!$G$24)*Cashflow!A35</f>
        <v>-3064.1081065500798</v>
      </c>
      <c r="H35" s="34">
        <f>-Maintenance!$G$25*A35</f>
        <v>-4222.8498654556743</v>
      </c>
      <c r="I35" s="166">
        <f>IF(MOD(B35,12)=0,'Student Fee'!$E$5*A35,0)</f>
        <v>0</v>
      </c>
      <c r="J35" s="150">
        <f t="shared" si="0"/>
        <v>-16904.533087954449</v>
      </c>
    </row>
    <row r="36" spans="1:10" x14ac:dyDescent="0.2">
      <c r="A36" s="156">
        <f>(1+'Project Details'!$F$5)^(B36/12)</f>
        <v>1.1023791513384635</v>
      </c>
      <c r="B36" s="3">
        <v>34</v>
      </c>
      <c r="C36" s="150">
        <f>-'CR Finance Options'!K37</f>
        <v>-6676.8671951744136</v>
      </c>
      <c r="D36" s="34">
        <f>-A36*Electicity!$B$10</f>
        <v>-193.20251703105114</v>
      </c>
      <c r="E36" s="150">
        <f>-Cashflow!A36*'Project Details'!$C$14</f>
        <v>-2755.9478783461586</v>
      </c>
      <c r="F36" s="150">
        <f>IF(MOD(B36,12)=0,-A36*'Project Details'!$C$44,0)</f>
        <v>0</v>
      </c>
      <c r="G36" s="34">
        <f>-(Shipping!$H$24+Maintenance!$G$24)*Cashflow!A36</f>
        <v>-3072.904850588287</v>
      </c>
      <c r="H36" s="34">
        <f>-Maintenance!$G$25*A36</f>
        <v>-4234.9732397252637</v>
      </c>
      <c r="I36" s="166">
        <f>IF(MOD(B36,12)=0,'Student Fee'!$E$5*A36,0)</f>
        <v>0</v>
      </c>
      <c r="J36" s="150">
        <f t="shared" si="0"/>
        <v>-16933.895680865175</v>
      </c>
    </row>
    <row r="37" spans="1:10" x14ac:dyDescent="0.2">
      <c r="A37" s="156">
        <f>(1+'Project Details'!$F$5)^(B37/12)</f>
        <v>1.1055439702319778</v>
      </c>
      <c r="B37" s="3">
        <v>35</v>
      </c>
      <c r="C37" s="150">
        <f>-'CR Finance Options'!K38</f>
        <v>-6676.8671951744136</v>
      </c>
      <c r="D37" s="34">
        <f>-A37*Electicity!$B$10</f>
        <v>-193.75718188971794</v>
      </c>
      <c r="E37" s="150">
        <f>-Cashflow!A37*'Project Details'!$C$14</f>
        <v>-2763.8599255799445</v>
      </c>
      <c r="F37" s="150">
        <f>IF(MOD(B37,12)=0,-A37*'Project Details'!$C$44,0)</f>
        <v>0</v>
      </c>
      <c r="G37" s="34">
        <f>-(Shipping!$H$24+Maintenance!$G$24)*Cashflow!A37</f>
        <v>-3081.7268491876848</v>
      </c>
      <c r="H37" s="34">
        <f>-Maintenance!$G$25*A37</f>
        <v>-4247.1314189745144</v>
      </c>
      <c r="I37" s="166">
        <f>IF(MOD(B37,12)=0,'Student Fee'!$E$5*A37,0)</f>
        <v>0</v>
      </c>
      <c r="J37" s="150">
        <f t="shared" si="0"/>
        <v>-16963.342570806275</v>
      </c>
    </row>
    <row r="38" spans="1:10" x14ac:dyDescent="0.2">
      <c r="A38" s="156">
        <f>(1+'Project Details'!$F$5)^(B38/12)</f>
        <v>1.1087178749999997</v>
      </c>
      <c r="B38" s="3">
        <v>36</v>
      </c>
      <c r="C38" s="150">
        <f>-'CR Finance Options'!K39</f>
        <v>-6676.8671951744136</v>
      </c>
      <c r="D38" s="34">
        <f>-A38*Electicity!$B$10</f>
        <v>-194.31343913501706</v>
      </c>
      <c r="E38" s="150">
        <f>-Cashflow!A38*'Project Details'!$C$14</f>
        <v>-2771.7946874999993</v>
      </c>
      <c r="F38" s="150">
        <f>IF(MOD(B38,12)=0,-A38*'Project Details'!$C$44,0)</f>
        <v>-2771.7946874999993</v>
      </c>
      <c r="G38" s="34">
        <f>-(Shipping!$H$24+Maintenance!$G$24)*Cashflow!A38</f>
        <v>-3090.574174851562</v>
      </c>
      <c r="H38" s="34">
        <f>-Maintenance!$G$25*A38</f>
        <v>-4259.324503124999</v>
      </c>
      <c r="I38" s="166">
        <f>IF(MOD(B38,12)=0,'Student Fee'!$E$5*A38,0)</f>
        <v>251457.21404999995</v>
      </c>
      <c r="J38" s="150">
        <f t="shared" si="0"/>
        <v>231692.54536271395</v>
      </c>
    </row>
    <row r="39" spans="1:10" x14ac:dyDescent="0.2">
      <c r="A39" s="156">
        <f>(1+'Project Details'!$F$5)^(B39/12)</f>
        <v>1.1119008917271547</v>
      </c>
      <c r="B39" s="3">
        <v>37</v>
      </c>
      <c r="C39" s="150">
        <f>-'CR Finance Options'!K40</f>
        <v>0</v>
      </c>
      <c r="D39" s="34">
        <f>-A39*Electicity!$B$10</f>
        <v>-194.87129333852917</v>
      </c>
      <c r="E39" s="150">
        <f>-Cashflow!A39*'Project Details'!$C$14</f>
        <v>-2779.7522293178868</v>
      </c>
      <c r="F39" s="150">
        <f>IF(MOD(B39,12)=0,-A39*'Project Details'!$C$44,0)</f>
        <v>0</v>
      </c>
      <c r="G39" s="34">
        <f>-(Shipping!$H$24+Maintenance!$G$24)*Cashflow!A39</f>
        <v>-3099.4469002913547</v>
      </c>
      <c r="H39" s="34">
        <f>-Maintenance!$G$25*A39</f>
        <v>-4271.5525923851519</v>
      </c>
      <c r="I39" s="166">
        <f>IF(MOD(B39,12)=0,'Student Fee'!$E$5*A39,0)</f>
        <v>0</v>
      </c>
      <c r="J39" s="150">
        <f t="shared" si="0"/>
        <v>-10345.623015332923</v>
      </c>
    </row>
    <row r="40" spans="1:10" x14ac:dyDescent="0.2">
      <c r="A40" s="156">
        <f>(1+'Project Details'!$F$5)^(B40/12)</f>
        <v>1.1150930465729543</v>
      </c>
      <c r="B40" s="3">
        <v>38</v>
      </c>
      <c r="C40" s="150">
        <f>-'CR Finance Options'!K41</f>
        <v>0</v>
      </c>
      <c r="D40" s="34">
        <f>-A40*Electicity!$B$10</f>
        <v>-195.43074908495953</v>
      </c>
      <c r="E40" s="150">
        <f>-Cashflow!A40*'Project Details'!$C$14</f>
        <v>-2787.7326164323858</v>
      </c>
      <c r="F40" s="150">
        <f>IF(MOD(B40,12)=0,-A40*'Project Details'!$C$44,0)</f>
        <v>0</v>
      </c>
      <c r="G40" s="34">
        <f>-(Shipping!$H$24+Maintenance!$G$24)*Cashflow!A40</f>
        <v>-3108.3450984272472</v>
      </c>
      <c r="H40" s="34">
        <f>-Maintenance!$G$25*A40</f>
        <v>-4283.8157872510992</v>
      </c>
      <c r="I40" s="166">
        <f>IF(MOD(B40,12)=0,'Student Fee'!$E$5*A40,0)</f>
        <v>0</v>
      </c>
      <c r="J40" s="150">
        <f t="shared" si="0"/>
        <v>-10375.324251195692</v>
      </c>
    </row>
    <row r="41" spans="1:10" x14ac:dyDescent="0.2">
      <c r="A41" s="156">
        <f>(1+'Project Details'!$F$5)^(B41/12)</f>
        <v>1.1182943657720117</v>
      </c>
      <c r="B41" s="3">
        <v>39</v>
      </c>
      <c r="C41" s="150">
        <f>-'CR Finance Options'!K42</f>
        <v>0</v>
      </c>
      <c r="D41" s="34">
        <f>-A41*Electicity!$B$10</f>
        <v>-195.9918109721757</v>
      </c>
      <c r="E41" s="150">
        <f>-Cashflow!A41*'Project Details'!$C$14</f>
        <v>-2795.7359144300294</v>
      </c>
      <c r="F41" s="150">
        <f>IF(MOD(B41,12)=0,-A41*'Project Details'!$C$44,0)</f>
        <v>0</v>
      </c>
      <c r="G41" s="34">
        <f>-(Shipping!$H$24+Maintenance!$G$24)*Cashflow!A41</f>
        <v>-3117.2688423887698</v>
      </c>
      <c r="H41" s="34">
        <f>-Maintenance!$G$25*A41</f>
        <v>-4296.1141885074785</v>
      </c>
      <c r="I41" s="166">
        <f>IF(MOD(B41,12)=0,'Student Fee'!$E$5*A41,0)</f>
        <v>0</v>
      </c>
      <c r="J41" s="150">
        <f t="shared" si="0"/>
        <v>-10405.110756298454</v>
      </c>
    </row>
    <row r="42" spans="1:10" x14ac:dyDescent="0.2">
      <c r="A42" s="156">
        <f>(1+'Project Details'!$F$5)^(B42/12)</f>
        <v>1.1215048756342572</v>
      </c>
      <c r="B42" s="3">
        <v>40</v>
      </c>
      <c r="C42" s="150">
        <f>-'CR Finance Options'!K43</f>
        <v>0</v>
      </c>
      <c r="D42" s="34">
        <f>-A42*Electicity!$B$10</f>
        <v>-196.55448361124525</v>
      </c>
      <c r="E42" s="150">
        <f>-Cashflow!A42*'Project Details'!$C$14</f>
        <v>-2803.7621890856431</v>
      </c>
      <c r="F42" s="150">
        <f>IF(MOD(B42,12)=0,-A42*'Project Details'!$C$44,0)</f>
        <v>0</v>
      </c>
      <c r="G42" s="34">
        <f>-(Shipping!$H$24+Maintenance!$G$24)*Cashflow!A42</f>
        <v>-3126.2182055154012</v>
      </c>
      <c r="H42" s="34">
        <f>-Maintenance!$G$25*A42</f>
        <v>-4308.4478972282714</v>
      </c>
      <c r="I42" s="166">
        <f>IF(MOD(B42,12)=0,'Student Fee'!$E$5*A42,0)</f>
        <v>0</v>
      </c>
      <c r="J42" s="150">
        <f t="shared" si="0"/>
        <v>-10434.98277544056</v>
      </c>
    </row>
    <row r="43" spans="1:10" x14ac:dyDescent="0.2">
      <c r="A43" s="156">
        <f>(1+'Project Details'!$F$5)^(B43/12)</f>
        <v>1.1247246025451538</v>
      </c>
      <c r="B43" s="3">
        <v>41</v>
      </c>
      <c r="C43" s="150">
        <f>-'CR Finance Options'!K44</f>
        <v>0</v>
      </c>
      <c r="D43" s="34">
        <f>-A43*Electicity!$B$10</f>
        <v>-197.11877162647355</v>
      </c>
      <c r="E43" s="150">
        <f>-Cashflow!A43*'Project Details'!$C$14</f>
        <v>-2811.8115063628848</v>
      </c>
      <c r="F43" s="150">
        <f>IF(MOD(B43,12)=0,-A43*'Project Details'!$C$44,0)</f>
        <v>0</v>
      </c>
      <c r="G43" s="34">
        <f>-(Shipping!$H$24+Maintenance!$G$24)*Cashflow!A43</f>
        <v>-3135.1932613571694</v>
      </c>
      <c r="H43" s="34">
        <f>-Maintenance!$G$25*A43</f>
        <v>-4320.8170147776327</v>
      </c>
      <c r="I43" s="166">
        <f>IF(MOD(B43,12)=0,'Student Fee'!$E$5*A43,0)</f>
        <v>0</v>
      </c>
      <c r="J43" s="150">
        <f t="shared" si="0"/>
        <v>-10464.940554124161</v>
      </c>
    </row>
    <row r="44" spans="1:10" x14ac:dyDescent="0.2">
      <c r="A44" s="156">
        <f>(1+'Project Details'!$F$5)^(B44/12)</f>
        <v>1.1279535729659147</v>
      </c>
      <c r="B44" s="3">
        <v>42</v>
      </c>
      <c r="C44" s="150">
        <f>-'CR Finance Options'!K45</f>
        <v>0</v>
      </c>
      <c r="D44" s="34">
        <f>-A44*Electicity!$B$10</f>
        <v>-197.68467965544195</v>
      </c>
      <c r="E44" s="150">
        <f>-Cashflow!A44*'Project Details'!$C$14</f>
        <v>-2819.8839324147866</v>
      </c>
      <c r="F44" s="150">
        <f>IF(MOD(B44,12)=0,-A44*'Project Details'!$C$44,0)</f>
        <v>0</v>
      </c>
      <c r="G44" s="34">
        <f>-(Shipping!$H$24+Maintenance!$G$24)*Cashflow!A44</f>
        <v>-3144.1940836752574</v>
      </c>
      <c r="H44" s="34">
        <f>-Maintenance!$G$25*A44</f>
        <v>-4333.2216428107222</v>
      </c>
      <c r="I44" s="166">
        <f>IF(MOD(B44,12)=0,'Student Fee'!$E$5*A44,0)</f>
        <v>0</v>
      </c>
      <c r="J44" s="150">
        <f t="shared" si="0"/>
        <v>-10494.984338556209</v>
      </c>
    </row>
    <row r="45" spans="1:10" x14ac:dyDescent="0.2">
      <c r="A45" s="156">
        <f>(1+'Project Details'!$F$5)^(B45/12)</f>
        <v>1.1311918134337204</v>
      </c>
      <c r="B45" s="3">
        <v>43</v>
      </c>
      <c r="C45" s="150">
        <f>-'CR Finance Options'!K46</f>
        <v>0</v>
      </c>
      <c r="D45" s="34">
        <f>-A45*Electicity!$B$10</f>
        <v>-198.25221234904583</v>
      </c>
      <c r="E45" s="150">
        <f>-Cashflow!A45*'Project Details'!$C$14</f>
        <v>-2827.979533584301</v>
      </c>
      <c r="F45" s="150">
        <f>IF(MOD(B45,12)=0,-A45*'Project Details'!$C$44,0)</f>
        <v>0</v>
      </c>
      <c r="G45" s="34">
        <f>-(Shipping!$H$24+Maintenance!$G$24)*Cashflow!A45</f>
        <v>-3153.2207464426092</v>
      </c>
      <c r="H45" s="34">
        <f>-Maintenance!$G$25*A45</f>
        <v>-4345.6618832745426</v>
      </c>
      <c r="I45" s="166">
        <f>IF(MOD(B45,12)=0,'Student Fee'!$E$5*A45,0)</f>
        <v>0</v>
      </c>
      <c r="J45" s="150">
        <f t="shared" si="0"/>
        <v>-10525.114375650499</v>
      </c>
    </row>
    <row r="46" spans="1:10" x14ac:dyDescent="0.2">
      <c r="A46" s="156">
        <f>(1+'Project Details'!$F$5)^(B46/12)</f>
        <v>1.1344393505619372</v>
      </c>
      <c r="B46" s="3">
        <v>44</v>
      </c>
      <c r="C46" s="150">
        <f>-'CR Finance Options'!K47</f>
        <v>0</v>
      </c>
      <c r="D46" s="34">
        <f>-A46*Electicity!$B$10</f>
        <v>-198.82137437153281</v>
      </c>
      <c r="E46" s="150">
        <f>-Cashflow!A46*'Project Details'!$C$14</f>
        <v>-2836.0983764048433</v>
      </c>
      <c r="F46" s="150">
        <f>IF(MOD(B46,12)=0,-A46*'Project Details'!$C$44,0)</f>
        <v>0</v>
      </c>
      <c r="G46" s="34">
        <f>-(Shipping!$H$24+Maintenance!$G$24)*Cashflow!A46</f>
        <v>-3162.2733238445371</v>
      </c>
      <c r="H46" s="34">
        <f>-Maintenance!$G$25*A46</f>
        <v>-4358.1378384087757</v>
      </c>
      <c r="I46" s="166">
        <f>IF(MOD(B46,12)=0,'Student Fee'!$E$5*A46,0)</f>
        <v>0</v>
      </c>
      <c r="J46" s="150">
        <f t="shared" si="0"/>
        <v>-10555.330913029688</v>
      </c>
    </row>
    <row r="47" spans="1:10" x14ac:dyDescent="0.2">
      <c r="A47" s="156">
        <f>(1+'Project Details'!$F$5)^(B47/12)</f>
        <v>1.1376962110403357</v>
      </c>
      <c r="B47" s="3">
        <v>45</v>
      </c>
      <c r="C47" s="150">
        <f>-'CR Finance Options'!K48</f>
        <v>0</v>
      </c>
      <c r="D47" s="34">
        <f>-A47*Electicity!$B$10</f>
        <v>-199.39217040054112</v>
      </c>
      <c r="E47" s="150">
        <f>-Cashflow!A47*'Project Details'!$C$14</f>
        <v>-2844.2405276008394</v>
      </c>
      <c r="F47" s="150">
        <f>IF(MOD(B47,12)=0,-A47*'Project Details'!$C$44,0)</f>
        <v>0</v>
      </c>
      <c r="G47" s="34">
        <f>-(Shipping!$H$24+Maintenance!$G$24)*Cashflow!A47</f>
        <v>-3171.3518902793326</v>
      </c>
      <c r="H47" s="34">
        <f>-Maintenance!$G$25*A47</f>
        <v>-4370.6496107466228</v>
      </c>
      <c r="I47" s="166">
        <f>IF(MOD(B47,12)=0,'Student Fee'!$E$5*A47,0)</f>
        <v>0</v>
      </c>
      <c r="J47" s="150">
        <f t="shared" si="0"/>
        <v>-10585.634199027336</v>
      </c>
    </row>
    <row r="48" spans="1:10" x14ac:dyDescent="0.2">
      <c r="A48" s="156">
        <f>(1+'Project Details'!$F$5)^(B48/12)</f>
        <v>1.1409624216353096</v>
      </c>
      <c r="B48" s="3">
        <v>46</v>
      </c>
      <c r="C48" s="150">
        <f>-'CR Finance Options'!K49</f>
        <v>0</v>
      </c>
      <c r="D48" s="34">
        <f>-A48*Electicity!$B$10</f>
        <v>-199.9646051271379</v>
      </c>
      <c r="E48" s="150">
        <f>-Cashflow!A48*'Project Details'!$C$14</f>
        <v>-2852.4060540882738</v>
      </c>
      <c r="F48" s="150">
        <f>IF(MOD(B48,12)=0,-A48*'Project Details'!$C$44,0)</f>
        <v>0</v>
      </c>
      <c r="G48" s="34">
        <f>-(Shipping!$H$24+Maintenance!$G$24)*Cashflow!A48</f>
        <v>-3180.4565203588763</v>
      </c>
      <c r="H48" s="34">
        <f>-Maintenance!$G$25*A48</f>
        <v>-4383.1973031156476</v>
      </c>
      <c r="I48" s="166">
        <f>IF(MOD(B48,12)=0,'Student Fee'!$E$5*A48,0)</f>
        <v>0</v>
      </c>
      <c r="J48" s="150">
        <f t="shared" si="0"/>
        <v>-10616.024482689936</v>
      </c>
    </row>
    <row r="49" spans="1:10" x14ac:dyDescent="0.2">
      <c r="A49" s="156">
        <f>(1+'Project Details'!$F$5)^(B49/12)</f>
        <v>1.144238009190097</v>
      </c>
      <c r="B49" s="3">
        <v>47</v>
      </c>
      <c r="C49" s="150">
        <f>-'CR Finance Options'!K50</f>
        <v>0</v>
      </c>
      <c r="D49" s="34">
        <f>-A49*Electicity!$B$10</f>
        <v>-200.53868325585807</v>
      </c>
      <c r="E49" s="150">
        <f>-Cashflow!A49*'Project Details'!$C$14</f>
        <v>-2860.5950229752425</v>
      </c>
      <c r="F49" s="150">
        <f>IF(MOD(B49,12)=0,-A49*'Project Details'!$C$44,0)</f>
        <v>0</v>
      </c>
      <c r="G49" s="34">
        <f>-(Shipping!$H$24+Maintenance!$G$24)*Cashflow!A49</f>
        <v>-3189.5872889092539</v>
      </c>
      <c r="H49" s="34">
        <f>-Maintenance!$G$25*A49</f>
        <v>-4395.7810186386223</v>
      </c>
      <c r="I49" s="166">
        <f>IF(MOD(B49,12)=0,'Student Fee'!$E$5*A49,0)</f>
        <v>0</v>
      </c>
      <c r="J49" s="150">
        <f t="shared" si="0"/>
        <v>-10646.502013778976</v>
      </c>
    </row>
    <row r="50" spans="1:10" x14ac:dyDescent="0.2">
      <c r="A50" s="156">
        <f>(1+'Project Details'!$F$5)^(B50/12)</f>
        <v>1.1475230006249997</v>
      </c>
      <c r="B50" s="3">
        <v>48</v>
      </c>
      <c r="C50" s="150">
        <f>-'CR Finance Options'!K51</f>
        <v>0</v>
      </c>
      <c r="D50" s="34">
        <f>-A50*Electicity!$B$10</f>
        <v>-201.11440950474264</v>
      </c>
      <c r="E50" s="150">
        <f>-Cashflow!A50*'Project Details'!$C$14</f>
        <v>-2868.8075015624991</v>
      </c>
      <c r="F50" s="150">
        <f>IF(MOD(B50,12)=0,-A50*'Project Details'!$C$44,0)</f>
        <v>-2868.8075015624991</v>
      </c>
      <c r="G50" s="34">
        <f>-(Shipping!$H$24+Maintenance!$G$24)*Cashflow!A50</f>
        <v>-3198.7442709713664</v>
      </c>
      <c r="H50" s="34">
        <f>-Maintenance!$G$25*A50</f>
        <v>-4408.400860734374</v>
      </c>
      <c r="I50" s="166">
        <f>IF(MOD(B50,12)=0,'Student Fee'!$E$5*A50,0)</f>
        <v>260258.21654174992</v>
      </c>
      <c r="J50" s="150">
        <f t="shared" si="0"/>
        <v>246712.34199741445</v>
      </c>
    </row>
    <row r="51" spans="1:10" x14ac:dyDescent="0.2">
      <c r="A51" s="156">
        <f>(1+'Project Details'!$F$5)^(B51/12)</f>
        <v>1.1508174229376049</v>
      </c>
      <c r="B51" s="3">
        <v>49</v>
      </c>
      <c r="C51" s="150">
        <f>-'CR Finance Options'!K52</f>
        <v>0</v>
      </c>
      <c r="D51" s="34">
        <f>-A51*Electicity!$B$10</f>
        <v>-201.69178860537764</v>
      </c>
      <c r="E51" s="150">
        <f>-Cashflow!A51*'Project Details'!$C$14</f>
        <v>-2877.0435573440122</v>
      </c>
      <c r="F51" s="150">
        <f>IF(MOD(B51,12)=0,-A51*'Project Details'!$C$44,0)</f>
        <v>0</v>
      </c>
      <c r="G51" s="34">
        <f>-(Shipping!$H$24+Maintenance!$G$24)*Cashflow!A51</f>
        <v>-3207.9275418015518</v>
      </c>
      <c r="H51" s="34">
        <f>-Maintenance!$G$25*A51</f>
        <v>-4421.0569331186316</v>
      </c>
      <c r="I51" s="166">
        <f>IF(MOD(B51,12)=0,'Student Fee'!$E$5*A51,0)</f>
        <v>0</v>
      </c>
      <c r="J51" s="150">
        <f t="shared" si="0"/>
        <v>-10707.719820869574</v>
      </c>
    </row>
    <row r="52" spans="1:10" x14ac:dyDescent="0.2">
      <c r="A52" s="156">
        <f>(1+'Project Details'!$F$5)^(B52/12)</f>
        <v>1.1541213032030075</v>
      </c>
      <c r="B52" s="3">
        <v>50</v>
      </c>
      <c r="C52" s="150">
        <f>-'CR Finance Options'!K53</f>
        <v>0</v>
      </c>
      <c r="D52" s="34">
        <f>-A52*Electicity!$B$10</f>
        <v>-202.2708253029331</v>
      </c>
      <c r="E52" s="150">
        <f>-Cashflow!A52*'Project Details'!$C$14</f>
        <v>-2885.3032580075187</v>
      </c>
      <c r="F52" s="150">
        <f>IF(MOD(B52,12)=0,-A52*'Project Details'!$C$44,0)</f>
        <v>0</v>
      </c>
      <c r="G52" s="34">
        <f>-(Shipping!$H$24+Maintenance!$G$24)*Cashflow!A52</f>
        <v>-3217.1371768722006</v>
      </c>
      <c r="H52" s="34">
        <f>-Maintenance!$G$25*A52</f>
        <v>-4433.7493398048873</v>
      </c>
      <c r="I52" s="166">
        <f>IF(MOD(B52,12)=0,'Student Fee'!$E$5*A52,0)</f>
        <v>0</v>
      </c>
      <c r="J52" s="150">
        <f t="shared" si="0"/>
        <v>-10738.460599987538</v>
      </c>
    </row>
    <row r="53" spans="1:10" x14ac:dyDescent="0.2">
      <c r="A53" s="156">
        <f>(1+'Project Details'!$F$5)^(B53/12)</f>
        <v>1.157434668574032</v>
      </c>
      <c r="B53" s="3">
        <v>51</v>
      </c>
      <c r="C53" s="150">
        <f>-'CR Finance Options'!K54</f>
        <v>0</v>
      </c>
      <c r="D53" s="34">
        <f>-A53*Electicity!$B$10</f>
        <v>-202.85152435620185</v>
      </c>
      <c r="E53" s="150">
        <f>-Cashflow!A53*'Project Details'!$C$14</f>
        <v>-2893.58667143508</v>
      </c>
      <c r="F53" s="150">
        <f>IF(MOD(B53,12)=0,-A53*'Project Details'!$C$44,0)</f>
        <v>0</v>
      </c>
      <c r="G53" s="34">
        <f>-(Shipping!$H$24+Maintenance!$G$24)*Cashflow!A53</f>
        <v>-3226.3732518723764</v>
      </c>
      <c r="H53" s="34">
        <f>-Maintenance!$G$25*A53</f>
        <v>-4446.4781851052394</v>
      </c>
      <c r="I53" s="166">
        <f>IF(MOD(B53,12)=0,'Student Fee'!$E$5*A53,0)</f>
        <v>0</v>
      </c>
      <c r="J53" s="150">
        <f t="shared" si="0"/>
        <v>-10769.289632768898</v>
      </c>
    </row>
    <row r="54" spans="1:10" x14ac:dyDescent="0.2">
      <c r="A54" s="156">
        <f>(1+'Project Details'!$F$5)^(B54/12)</f>
        <v>1.1607575462814561</v>
      </c>
      <c r="B54" s="3">
        <v>52</v>
      </c>
      <c r="C54" s="150">
        <f>-'CR Finance Options'!K55</f>
        <v>0</v>
      </c>
      <c r="D54" s="34">
        <f>-A54*Electicity!$B$10</f>
        <v>-203.4338905376388</v>
      </c>
      <c r="E54" s="150">
        <f>-Cashflow!A54*'Project Details'!$C$14</f>
        <v>-2901.8938657036401</v>
      </c>
      <c r="F54" s="150">
        <f>IF(MOD(B54,12)=0,-A54*'Project Details'!$C$44,0)</f>
        <v>0</v>
      </c>
      <c r="G54" s="34">
        <f>-(Shipping!$H$24+Maintenance!$G$24)*Cashflow!A54</f>
        <v>-3235.6358427084401</v>
      </c>
      <c r="H54" s="34">
        <f>-Maintenance!$G$25*A54</f>
        <v>-4459.24357363126</v>
      </c>
      <c r="I54" s="166">
        <f>IF(MOD(B54,12)=0,'Student Fee'!$E$5*A54,0)</f>
        <v>0</v>
      </c>
      <c r="J54" s="150">
        <f t="shared" si="0"/>
        <v>-10800.20717258098</v>
      </c>
    </row>
    <row r="55" spans="1:10" x14ac:dyDescent="0.2">
      <c r="A55" s="156">
        <f>(1+'Project Details'!$F$5)^(B55/12)</f>
        <v>1.1640899636342341</v>
      </c>
      <c r="B55" s="3">
        <v>53</v>
      </c>
      <c r="C55" s="150">
        <f>-'CR Finance Options'!K56</f>
        <v>0</v>
      </c>
      <c r="D55" s="34">
        <f>-A55*Electicity!$B$10</f>
        <v>-204.01792863340009</v>
      </c>
      <c r="E55" s="150">
        <f>-Cashflow!A55*'Project Details'!$C$14</f>
        <v>-2910.2249090855853</v>
      </c>
      <c r="F55" s="150">
        <f>IF(MOD(B55,12)=0,-A55*'Project Details'!$C$44,0)</f>
        <v>0</v>
      </c>
      <c r="G55" s="34">
        <f>-(Shipping!$H$24+Maintenance!$G$24)*Cashflow!A55</f>
        <v>-3244.92502550467</v>
      </c>
      <c r="H55" s="34">
        <f>-Maintenance!$G$25*A55</f>
        <v>-4472.0456102948492</v>
      </c>
      <c r="I55" s="166">
        <f>IF(MOD(B55,12)=0,'Student Fee'!$E$5*A55,0)</f>
        <v>0</v>
      </c>
      <c r="J55" s="150">
        <f t="shared" si="0"/>
        <v>-10831.213473518505</v>
      </c>
    </row>
    <row r="56" spans="1:10" x14ac:dyDescent="0.2">
      <c r="A56" s="156">
        <f>(1+'Project Details'!$F$5)^(B56/12)</f>
        <v>1.1674319480197215</v>
      </c>
      <c r="B56" s="3">
        <v>54</v>
      </c>
      <c r="C56" s="150">
        <f>-'CR Finance Options'!K57</f>
        <v>0</v>
      </c>
      <c r="D56" s="34">
        <f>-A56*Electicity!$B$10</f>
        <v>-204.60364344338237</v>
      </c>
      <c r="E56" s="150">
        <f>-Cashflow!A56*'Project Details'!$C$14</f>
        <v>-2918.5798700493037</v>
      </c>
      <c r="F56" s="150">
        <f>IF(MOD(B56,12)=0,-A56*'Project Details'!$C$44,0)</f>
        <v>0</v>
      </c>
      <c r="G56" s="34">
        <f>-(Shipping!$H$24+Maintenance!$G$24)*Cashflow!A56</f>
        <v>-3254.2408766038911</v>
      </c>
      <c r="H56" s="34">
        <f>-Maintenance!$G$25*A56</f>
        <v>-4484.8844003090962</v>
      </c>
      <c r="I56" s="166">
        <f>IF(MOD(B56,12)=0,'Student Fee'!$E$5*A56,0)</f>
        <v>0</v>
      </c>
      <c r="J56" s="150">
        <f t="shared" si="0"/>
        <v>-10862.308790405674</v>
      </c>
    </row>
    <row r="57" spans="1:10" x14ac:dyDescent="0.2">
      <c r="A57" s="156">
        <f>(1+'Project Details'!$F$5)^(B57/12)</f>
        <v>1.1707835269039004</v>
      </c>
      <c r="B57" s="3">
        <v>55</v>
      </c>
      <c r="C57" s="150">
        <f>-'CR Finance Options'!K58</f>
        <v>0</v>
      </c>
      <c r="D57" s="34">
        <f>-A57*Electicity!$B$10</f>
        <v>-205.19103978126239</v>
      </c>
      <c r="E57" s="150">
        <f>-Cashflow!A57*'Project Details'!$C$14</f>
        <v>-2926.958817259751</v>
      </c>
      <c r="F57" s="150">
        <f>IF(MOD(B57,12)=0,-A57*'Project Details'!$C$44,0)</f>
        <v>0</v>
      </c>
      <c r="G57" s="34">
        <f>-(Shipping!$H$24+Maintenance!$G$24)*Cashflow!A57</f>
        <v>-3263.5834725680998</v>
      </c>
      <c r="H57" s="34">
        <f>-Maintenance!$G$25*A57</f>
        <v>-4497.7600491891508</v>
      </c>
      <c r="I57" s="166">
        <f>IF(MOD(B57,12)=0,'Student Fee'!$E$5*A57,0)</f>
        <v>0</v>
      </c>
      <c r="J57" s="150">
        <f t="shared" si="0"/>
        <v>-10893.493378798263</v>
      </c>
    </row>
    <row r="58" spans="1:10" x14ac:dyDescent="0.2">
      <c r="A58" s="156">
        <f>(1+'Project Details'!$F$5)^(B58/12)</f>
        <v>1.1741447278316048</v>
      </c>
      <c r="B58" s="3">
        <v>56</v>
      </c>
      <c r="C58" s="150">
        <f>-'CR Finance Options'!K59</f>
        <v>0</v>
      </c>
      <c r="D58" s="34">
        <f>-A58*Electicity!$B$10</f>
        <v>-205.78012247453643</v>
      </c>
      <c r="E58" s="150">
        <f>-Cashflow!A58*'Project Details'!$C$14</f>
        <v>-2935.3618195790123</v>
      </c>
      <c r="F58" s="150">
        <f>IF(MOD(B58,12)=0,-A58*'Project Details'!$C$44,0)</f>
        <v>0</v>
      </c>
      <c r="G58" s="34">
        <f>-(Shipping!$H$24+Maintenance!$G$24)*Cashflow!A58</f>
        <v>-3272.952890179095</v>
      </c>
      <c r="H58" s="34">
        <f>-Maintenance!$G$25*A58</f>
        <v>-4510.6726627530816</v>
      </c>
      <c r="I58" s="166">
        <f>IF(MOD(B58,12)=0,'Student Fee'!$E$5*A58,0)</f>
        <v>0</v>
      </c>
      <c r="J58" s="150">
        <f t="shared" si="0"/>
        <v>-10924.767494985725</v>
      </c>
    </row>
    <row r="59" spans="1:10" x14ac:dyDescent="0.2">
      <c r="A59" s="156">
        <f>(1+'Project Details'!$F$5)^(B59/12)</f>
        <v>1.1775155784267473</v>
      </c>
      <c r="B59" s="3">
        <v>57</v>
      </c>
      <c r="C59" s="150">
        <f>-'CR Finance Options'!K60</f>
        <v>0</v>
      </c>
      <c r="D59" s="34">
        <f>-A59*Electicity!$B$10</f>
        <v>-206.37089636456002</v>
      </c>
      <c r="E59" s="150">
        <f>-Cashflow!A59*'Project Details'!$C$14</f>
        <v>-2943.788946066868</v>
      </c>
      <c r="F59" s="150">
        <f>IF(MOD(B59,12)=0,-A59*'Project Details'!$C$44,0)</f>
        <v>0</v>
      </c>
      <c r="G59" s="34">
        <f>-(Shipping!$H$24+Maintenance!$G$24)*Cashflow!A59</f>
        <v>-3282.3492064391089</v>
      </c>
      <c r="H59" s="34">
        <f>-Maintenance!$G$25*A59</f>
        <v>-4523.622347122754</v>
      </c>
      <c r="I59" s="166">
        <f>IF(MOD(B59,12)=0,'Student Fee'!$E$5*A59,0)</f>
        <v>0</v>
      </c>
      <c r="J59" s="150">
        <f t="shared" si="0"/>
        <v>-10956.131395993292</v>
      </c>
    </row>
    <row r="60" spans="1:10" x14ac:dyDescent="0.2">
      <c r="A60" s="156">
        <f>(1+'Project Details'!$F$5)^(B60/12)</f>
        <v>1.1808961063925454</v>
      </c>
      <c r="B60" s="3">
        <v>58</v>
      </c>
      <c r="C60" s="150">
        <f>-'CR Finance Options'!K61</f>
        <v>0</v>
      </c>
      <c r="D60" s="34">
        <f>-A60*Electicity!$B$10</f>
        <v>-206.96336630658772</v>
      </c>
      <c r="E60" s="150">
        <f>-Cashflow!A60*'Project Details'!$C$14</f>
        <v>-2952.2402659813633</v>
      </c>
      <c r="F60" s="150">
        <f>IF(MOD(B60,12)=0,-A60*'Project Details'!$C$44,0)</f>
        <v>0</v>
      </c>
      <c r="G60" s="34">
        <f>-(Shipping!$H$24+Maintenance!$G$24)*Cashflow!A60</f>
        <v>-3291.7724985714372</v>
      </c>
      <c r="H60" s="34">
        <f>-Maintenance!$G$25*A60</f>
        <v>-4536.6092087246952</v>
      </c>
      <c r="I60" s="166">
        <f>IF(MOD(B60,12)=0,'Student Fee'!$E$5*A60,0)</f>
        <v>0</v>
      </c>
      <c r="J60" s="150">
        <f t="shared" si="0"/>
        <v>-10987.585339584082</v>
      </c>
    </row>
    <row r="61" spans="1:10" x14ac:dyDescent="0.2">
      <c r="A61" s="156">
        <f>(1+'Project Details'!$F$5)^(B61/12)</f>
        <v>1.1842863395117502</v>
      </c>
      <c r="B61" s="3">
        <v>59</v>
      </c>
      <c r="C61" s="150">
        <f>-'CR Finance Options'!K62</f>
        <v>0</v>
      </c>
      <c r="D61" s="34">
        <f>-A61*Electicity!$B$10</f>
        <v>-207.55753716981309</v>
      </c>
      <c r="E61" s="150">
        <f>-Cashflow!A61*'Project Details'!$C$14</f>
        <v>-2960.7158487793754</v>
      </c>
      <c r="F61" s="150">
        <f>IF(MOD(B61,12)=0,-A61*'Project Details'!$C$44,0)</f>
        <v>0</v>
      </c>
      <c r="G61" s="34">
        <f>-(Shipping!$H$24+Maintenance!$G$24)*Cashflow!A61</f>
        <v>-3301.222844021077</v>
      </c>
      <c r="H61" s="34">
        <f>-Maintenance!$G$25*A61</f>
        <v>-4549.6333542909733</v>
      </c>
      <c r="I61" s="166">
        <f>IF(MOD(B61,12)=0,'Student Fee'!$E$5*A61,0)</f>
        <v>0</v>
      </c>
      <c r="J61" s="150">
        <f t="shared" si="0"/>
        <v>-11019.129584261238</v>
      </c>
    </row>
    <row r="62" spans="1:10" x14ac:dyDescent="0.2">
      <c r="A62" s="156">
        <f>(1+'Project Details'!$F$5)^(B62/12)</f>
        <v>1.1876863056468745</v>
      </c>
      <c r="B62" s="3">
        <v>60</v>
      </c>
      <c r="C62" s="150">
        <f>-'CR Finance Options'!K63</f>
        <v>0</v>
      </c>
      <c r="D62" s="34">
        <f>-A62*Electicity!$B$10</f>
        <v>-208.15341383740861</v>
      </c>
      <c r="E62" s="150">
        <f>-Cashflow!A62*'Project Details'!$C$14</f>
        <v>-2969.2157641171862</v>
      </c>
      <c r="F62" s="150">
        <v>0</v>
      </c>
      <c r="G62" s="34">
        <f>-(Shipping!$H$24+Maintenance!$G$24)*Cashflow!A62</f>
        <v>-3310.7003204553639</v>
      </c>
      <c r="H62" s="34">
        <f>-Maintenance!$G$25*A62</f>
        <v>-4562.6948908600762</v>
      </c>
      <c r="I62" s="166">
        <v>0</v>
      </c>
      <c r="J62" s="150">
        <f t="shared" si="0"/>
        <v>-11050.764389270036</v>
      </c>
    </row>
  </sheetData>
  <mergeCells count="1">
    <mergeCell ref="L4:M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B588CF2F739442BBACEEFB9E32E115" ma:contentTypeVersion="14" ma:contentTypeDescription="Create a new document." ma:contentTypeScope="" ma:versionID="bd739693acba30017d398d9f3cc91eb1">
  <xsd:schema xmlns:xsd="http://www.w3.org/2001/XMLSchema" xmlns:xs="http://www.w3.org/2001/XMLSchema" xmlns:p="http://schemas.microsoft.com/office/2006/metadata/properties" xmlns:ns3="d4398b65-27a0-431f-bb10-646010ce6561" xmlns:ns4="1926e0f5-0cc0-4557-b4d7-f87d799596a8" targetNamespace="http://schemas.microsoft.com/office/2006/metadata/properties" ma:root="true" ma:fieldsID="d9455580dc58f441b43481b9dfd0cb15" ns3:_="" ns4:_="">
    <xsd:import namespace="d4398b65-27a0-431f-bb10-646010ce6561"/>
    <xsd:import namespace="1926e0f5-0cc0-4557-b4d7-f87d799596a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398b65-27a0-431f-bb10-646010ce65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26e0f5-0cc0-4557-b4d7-f87d799596a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398b65-27a0-431f-bb10-646010ce6561" xsi:nil="true"/>
  </documentManagement>
</p:properties>
</file>

<file path=customXml/itemProps1.xml><?xml version="1.0" encoding="utf-8"?>
<ds:datastoreItem xmlns:ds="http://schemas.openxmlformats.org/officeDocument/2006/customXml" ds:itemID="{E0E3D0C8-3787-4A9D-80DE-BA4853E488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398b65-27a0-431f-bb10-646010ce6561"/>
    <ds:schemaRef ds:uri="1926e0f5-0cc0-4557-b4d7-f87d799596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E1AF55F-D374-449E-AE21-16FF33F4812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AAADC4-082E-4732-B6C6-8AD62649A126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1926e0f5-0cc0-4557-b4d7-f87d799596a8"/>
    <ds:schemaRef ds:uri="http://schemas.microsoft.com/office/2006/documentManagement/types"/>
    <ds:schemaRef ds:uri="http://purl.org/dc/terms/"/>
    <ds:schemaRef ds:uri="d4398b65-27a0-431f-bb10-646010ce6561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Project Details</vt:lpstr>
      <vt:lpstr>Maintenance</vt:lpstr>
      <vt:lpstr>Usability</vt:lpstr>
      <vt:lpstr>Student Fee</vt:lpstr>
      <vt:lpstr>Electicity</vt:lpstr>
      <vt:lpstr>Shipping</vt:lpstr>
      <vt:lpstr>CR Finance Options</vt:lpstr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Harman Singh</dc:creator>
  <cp:lastModifiedBy>Evan Warren</cp:lastModifiedBy>
  <dcterms:created xsi:type="dcterms:W3CDTF">2026-04-29T23:42:31Z</dcterms:created>
  <dcterms:modified xsi:type="dcterms:W3CDTF">2026-05-15T06:58:44Z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0x010100A4B588CF2F739442BBACEEFB9E32E115</vt:lpwstr>
  </property>
</Properties>
</file>