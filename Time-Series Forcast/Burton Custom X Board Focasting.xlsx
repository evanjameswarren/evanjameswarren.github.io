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dawgsmac/LocalFiles/P_Path/Job Search/Project Portfolio/Time-Series Forcast/"/>
    </mc:Choice>
  </mc:AlternateContent>
  <xr:revisionPtr revIDLastSave="0" documentId="8_{AD400F39-3BDF-BF4E-8EF7-876C2D428E24}" xr6:coauthVersionLast="47" xr6:coauthVersionMax="47" xr10:uidLastSave="{00000000-0000-0000-0000-000000000000}"/>
  <bookViews>
    <workbookView xWindow="0" yWindow="760" windowWidth="30240" windowHeight="17440" activeTab="2" xr2:uid="{E4DEF011-C212-454F-A399-2C12077EE2E6}"/>
  </bookViews>
  <sheets>
    <sheet name="Raw Data" sheetId="1" r:id="rId1"/>
    <sheet name="Model Setup" sheetId="2" r:id="rId2"/>
    <sheet name="Model" sheetId="3" r:id="rId3"/>
  </sheets>
  <definedNames>
    <definedName name="solver_adj" localSheetId="2" hidden="1">Model!$M$17:$O$17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hs1" localSheetId="2" hidden="1">Model!$M$17</definedName>
    <definedName name="solver_lhs2" localSheetId="2" hidden="1">Model!$M$17</definedName>
    <definedName name="solver_lhs3" localSheetId="2" hidden="1">Model!$N$17</definedName>
    <definedName name="solver_lhs4" localSheetId="2" hidden="1">Model!$N$17</definedName>
    <definedName name="solver_lhs5" localSheetId="2" hidden="1">Model!$O$17</definedName>
    <definedName name="solver_lhs6" localSheetId="2" hidden="1">Model!$O$17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opt" localSheetId="2" hidden="1">Model!$O$20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hs1" localSheetId="2" hidden="1">1</definedName>
    <definedName name="solver_rhs2" localSheetId="2" hidden="1">0</definedName>
    <definedName name="solver_rhs3" localSheetId="2" hidden="1">1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K19" i="1"/>
  <c r="B19" i="1"/>
  <c r="H137" i="3"/>
  <c r="H132" i="3"/>
  <c r="H133" i="3"/>
  <c r="H134" i="3"/>
  <c r="H135" i="3"/>
  <c r="H136" i="3"/>
  <c r="H127" i="3"/>
  <c r="H128" i="3"/>
  <c r="H129" i="3"/>
  <c r="H130" i="3"/>
  <c r="H131" i="3"/>
  <c r="H126" i="3"/>
  <c r="H125" i="3"/>
  <c r="H137" i="2"/>
  <c r="H133" i="2"/>
  <c r="H134" i="2"/>
  <c r="H135" i="2"/>
  <c r="H136" i="2"/>
  <c r="H132" i="2"/>
  <c r="H127" i="2"/>
  <c r="H128" i="2"/>
  <c r="H129" i="2"/>
  <c r="H130" i="2"/>
  <c r="H131" i="2"/>
  <c r="H126" i="2"/>
  <c r="E125" i="2"/>
  <c r="E122" i="2"/>
  <c r="F122" i="2" s="1"/>
  <c r="H122" i="2"/>
  <c r="B14" i="1"/>
  <c r="B15" i="1"/>
  <c r="B16" i="1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O3" i="3"/>
  <c r="F13" i="3" s="1"/>
  <c r="N3" i="3"/>
  <c r="G2" i="3" s="1"/>
  <c r="C2" i="3"/>
  <c r="C16" i="1"/>
  <c r="D16" i="1"/>
  <c r="E16" i="1"/>
  <c r="F16" i="1"/>
  <c r="G16" i="1"/>
  <c r="H16" i="1"/>
  <c r="I16" i="1"/>
  <c r="J16" i="1"/>
  <c r="K16" i="1"/>
  <c r="C15" i="1"/>
  <c r="D15" i="1"/>
  <c r="E15" i="1"/>
  <c r="F15" i="1"/>
  <c r="G15" i="1"/>
  <c r="H15" i="1"/>
  <c r="I15" i="1"/>
  <c r="J15" i="1"/>
  <c r="K15" i="1"/>
  <c r="P2" i="2"/>
  <c r="F13" i="2" s="1"/>
  <c r="O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2" i="2"/>
  <c r="C14" i="1"/>
  <c r="D14" i="1"/>
  <c r="E14" i="1"/>
  <c r="F14" i="1"/>
  <c r="G14" i="1"/>
  <c r="H14" i="1"/>
  <c r="I14" i="1"/>
  <c r="J14" i="1"/>
  <c r="K14" i="1"/>
  <c r="H123" i="2" l="1"/>
  <c r="E123" i="2"/>
  <c r="G122" i="2"/>
  <c r="E13" i="2"/>
  <c r="G13" i="2"/>
  <c r="H13" i="3"/>
  <c r="G13" i="3"/>
  <c r="E13" i="3"/>
  <c r="G12" i="3"/>
  <c r="G11" i="3"/>
  <c r="G10" i="3"/>
  <c r="G9" i="3"/>
  <c r="G8" i="3"/>
  <c r="G7" i="3"/>
  <c r="G6" i="3"/>
  <c r="G5" i="3"/>
  <c r="G4" i="3"/>
  <c r="G3" i="3"/>
  <c r="G2" i="2"/>
  <c r="G3" i="2"/>
  <c r="G4" i="2"/>
  <c r="G5" i="2"/>
  <c r="G6" i="2"/>
  <c r="G7" i="2"/>
  <c r="G8" i="2"/>
  <c r="G9" i="2"/>
  <c r="G10" i="2"/>
  <c r="G11" i="2"/>
  <c r="G12" i="2"/>
  <c r="G123" i="2" l="1"/>
  <c r="F123" i="2"/>
  <c r="H124" i="2" s="1"/>
  <c r="H14" i="2"/>
  <c r="E14" i="3"/>
  <c r="H14" i="3"/>
  <c r="E14" i="2"/>
  <c r="E124" i="2" l="1"/>
  <c r="G14" i="3"/>
  <c r="F14" i="3"/>
  <c r="I14" i="3"/>
  <c r="J14" i="3" s="1"/>
  <c r="G14" i="2"/>
  <c r="F14" i="2"/>
  <c r="H15" i="2" s="1"/>
  <c r="G124" i="2" l="1"/>
  <c r="F124" i="2"/>
  <c r="H125" i="2"/>
  <c r="H15" i="3"/>
  <c r="E15" i="3"/>
  <c r="K14" i="3"/>
  <c r="E15" i="2"/>
  <c r="F125" i="2" l="1"/>
  <c r="G125" i="2"/>
  <c r="F15" i="3"/>
  <c r="G15" i="3"/>
  <c r="I15" i="3"/>
  <c r="G15" i="2"/>
  <c r="F15" i="2"/>
  <c r="H16" i="2" s="1"/>
  <c r="H16" i="3" l="1"/>
  <c r="E16" i="3"/>
  <c r="J15" i="3"/>
  <c r="K15" i="3"/>
  <c r="E16" i="2"/>
  <c r="G16" i="3" l="1"/>
  <c r="F16" i="3"/>
  <c r="I16" i="3"/>
  <c r="G16" i="2"/>
  <c r="F16" i="2"/>
  <c r="H17" i="2" s="1"/>
  <c r="H17" i="3" l="1"/>
  <c r="E17" i="3"/>
  <c r="J16" i="3"/>
  <c r="K16" i="3"/>
  <c r="E17" i="2"/>
  <c r="G17" i="3" l="1"/>
  <c r="F17" i="3"/>
  <c r="I17" i="3"/>
  <c r="F17" i="2"/>
  <c r="H18" i="2" s="1"/>
  <c r="G17" i="2"/>
  <c r="H18" i="3" l="1"/>
  <c r="E18" i="3"/>
  <c r="J17" i="3"/>
  <c r="K17" i="3"/>
  <c r="E18" i="2"/>
  <c r="G18" i="3" l="1"/>
  <c r="F18" i="3"/>
  <c r="I18" i="3"/>
  <c r="F18" i="2"/>
  <c r="H19" i="2" s="1"/>
  <c r="G18" i="2"/>
  <c r="H19" i="3" l="1"/>
  <c r="E19" i="3"/>
  <c r="J18" i="3"/>
  <c r="K18" i="3"/>
  <c r="E19" i="2"/>
  <c r="G19" i="3" l="1"/>
  <c r="F19" i="3"/>
  <c r="I19" i="3"/>
  <c r="G19" i="2"/>
  <c r="F19" i="2"/>
  <c r="H20" i="2" s="1"/>
  <c r="H20" i="3" l="1"/>
  <c r="E20" i="3"/>
  <c r="J19" i="3"/>
  <c r="K19" i="3"/>
  <c r="E20" i="2"/>
  <c r="F20" i="3" l="1"/>
  <c r="G20" i="3"/>
  <c r="I20" i="3"/>
  <c r="F20" i="2"/>
  <c r="H21" i="2" s="1"/>
  <c r="G20" i="2"/>
  <c r="H21" i="3" l="1"/>
  <c r="E21" i="3"/>
  <c r="J20" i="3"/>
  <c r="K20" i="3"/>
  <c r="E21" i="2"/>
  <c r="F21" i="3" l="1"/>
  <c r="G21" i="3"/>
  <c r="I21" i="3"/>
  <c r="G21" i="2"/>
  <c r="F21" i="2"/>
  <c r="H22" i="2" s="1"/>
  <c r="H22" i="3" l="1"/>
  <c r="E22" i="3"/>
  <c r="J21" i="3"/>
  <c r="K21" i="3"/>
  <c r="E22" i="2"/>
  <c r="F22" i="3" l="1"/>
  <c r="G22" i="3"/>
  <c r="I22" i="3"/>
  <c r="F22" i="2"/>
  <c r="H23" i="2" s="1"/>
  <c r="G22" i="2"/>
  <c r="H23" i="3" l="1"/>
  <c r="E23" i="3"/>
  <c r="J22" i="3"/>
  <c r="K22" i="3"/>
  <c r="E23" i="2"/>
  <c r="F23" i="3" l="1"/>
  <c r="G23" i="3"/>
  <c r="I23" i="3"/>
  <c r="G23" i="2"/>
  <c r="F23" i="2"/>
  <c r="H24" i="2" s="1"/>
  <c r="H24" i="3" l="1"/>
  <c r="E24" i="3"/>
  <c r="J23" i="3"/>
  <c r="K23" i="3"/>
  <c r="E24" i="2"/>
  <c r="F24" i="3" l="1"/>
  <c r="G24" i="3"/>
  <c r="I24" i="3"/>
  <c r="G24" i="2"/>
  <c r="F24" i="2"/>
  <c r="H25" i="2" s="1"/>
  <c r="H25" i="3" l="1"/>
  <c r="E25" i="3"/>
  <c r="J24" i="3"/>
  <c r="K24" i="3"/>
  <c r="E25" i="2"/>
  <c r="G25" i="3" l="1"/>
  <c r="F25" i="3"/>
  <c r="I25" i="3"/>
  <c r="F25" i="2"/>
  <c r="H26" i="2" s="1"/>
  <c r="G25" i="2"/>
  <c r="H26" i="3" l="1"/>
  <c r="E26" i="3"/>
  <c r="J25" i="3"/>
  <c r="K25" i="3"/>
  <c r="E26" i="2"/>
  <c r="G26" i="3" l="1"/>
  <c r="F26" i="3"/>
  <c r="I26" i="3"/>
  <c r="F26" i="2"/>
  <c r="H27" i="2" s="1"/>
  <c r="G26" i="2"/>
  <c r="H27" i="3" l="1"/>
  <c r="E27" i="3"/>
  <c r="K26" i="3"/>
  <c r="J26" i="3"/>
  <c r="E27" i="2"/>
  <c r="G27" i="3" l="1"/>
  <c r="F27" i="3"/>
  <c r="I27" i="3"/>
  <c r="F27" i="2"/>
  <c r="H28" i="2" s="1"/>
  <c r="G27" i="2"/>
  <c r="H28" i="3" l="1"/>
  <c r="E28" i="3"/>
  <c r="J27" i="3"/>
  <c r="K27" i="3"/>
  <c r="E28" i="2"/>
  <c r="F28" i="3" l="1"/>
  <c r="G28" i="3"/>
  <c r="I28" i="3"/>
  <c r="F28" i="2"/>
  <c r="H29" i="2" s="1"/>
  <c r="G28" i="2"/>
  <c r="H29" i="3" l="1"/>
  <c r="E29" i="3"/>
  <c r="J28" i="3"/>
  <c r="K28" i="3"/>
  <c r="E29" i="2"/>
  <c r="F29" i="3" l="1"/>
  <c r="G29" i="3"/>
  <c r="I29" i="3"/>
  <c r="G29" i="2"/>
  <c r="F29" i="2"/>
  <c r="H30" i="2" s="1"/>
  <c r="H30" i="3" l="1"/>
  <c r="E30" i="3"/>
  <c r="J29" i="3"/>
  <c r="K29" i="3"/>
  <c r="E30" i="2"/>
  <c r="G30" i="3" l="1"/>
  <c r="F30" i="3"/>
  <c r="I30" i="3"/>
  <c r="F30" i="2"/>
  <c r="H31" i="2" s="1"/>
  <c r="G30" i="2"/>
  <c r="H31" i="3" l="1"/>
  <c r="E31" i="3"/>
  <c r="J30" i="3"/>
  <c r="K30" i="3"/>
  <c r="E31" i="2"/>
  <c r="G31" i="3" l="1"/>
  <c r="F31" i="3"/>
  <c r="I31" i="3"/>
  <c r="G31" i="2"/>
  <c r="F31" i="2"/>
  <c r="H32" i="2" s="1"/>
  <c r="H32" i="3" l="1"/>
  <c r="E32" i="3"/>
  <c r="J31" i="3"/>
  <c r="K31" i="3"/>
  <c r="E32" i="2"/>
  <c r="G32" i="3" l="1"/>
  <c r="F32" i="3"/>
  <c r="I32" i="3"/>
  <c r="F32" i="2"/>
  <c r="H33" i="2" s="1"/>
  <c r="G32" i="2"/>
  <c r="H33" i="3" l="1"/>
  <c r="E33" i="3"/>
  <c r="J32" i="3"/>
  <c r="K32" i="3"/>
  <c r="E33" i="2"/>
  <c r="G33" i="3" l="1"/>
  <c r="F33" i="3"/>
  <c r="I33" i="3"/>
  <c r="G33" i="2"/>
  <c r="F33" i="2"/>
  <c r="H34" i="2" s="1"/>
  <c r="H34" i="3" l="1"/>
  <c r="E34" i="3"/>
  <c r="K33" i="3"/>
  <c r="J33" i="3"/>
  <c r="E34" i="2"/>
  <c r="F34" i="3" l="1"/>
  <c r="G34" i="3"/>
  <c r="I34" i="3"/>
  <c r="F34" i="2"/>
  <c r="H35" i="2" s="1"/>
  <c r="G34" i="2"/>
  <c r="H35" i="3" l="1"/>
  <c r="E35" i="3"/>
  <c r="K34" i="3"/>
  <c r="J34" i="3"/>
  <c r="E35" i="2"/>
  <c r="G35" i="3" l="1"/>
  <c r="F35" i="3"/>
  <c r="I35" i="3"/>
  <c r="G35" i="2"/>
  <c r="F35" i="2"/>
  <c r="H36" i="2" s="1"/>
  <c r="H36" i="3" l="1"/>
  <c r="E36" i="3"/>
  <c r="J35" i="3"/>
  <c r="K35" i="3"/>
  <c r="E36" i="2"/>
  <c r="G36" i="3" l="1"/>
  <c r="F36" i="3"/>
  <c r="I36" i="3"/>
  <c r="G36" i="2"/>
  <c r="F36" i="2"/>
  <c r="H37" i="2" s="1"/>
  <c r="H37" i="3" l="1"/>
  <c r="E37" i="3"/>
  <c r="J36" i="3"/>
  <c r="K36" i="3"/>
  <c r="E37" i="2"/>
  <c r="F37" i="3" l="1"/>
  <c r="G37" i="3"/>
  <c r="I37" i="3"/>
  <c r="F37" i="2"/>
  <c r="H38" i="2" s="1"/>
  <c r="G37" i="2"/>
  <c r="H38" i="3" l="1"/>
  <c r="E38" i="3"/>
  <c r="J37" i="3"/>
  <c r="K37" i="3"/>
  <c r="E38" i="2"/>
  <c r="G38" i="3" l="1"/>
  <c r="F38" i="3"/>
  <c r="I38" i="3"/>
  <c r="F38" i="2"/>
  <c r="H39" i="2" s="1"/>
  <c r="G38" i="2"/>
  <c r="H39" i="3" l="1"/>
  <c r="E39" i="3"/>
  <c r="K38" i="3"/>
  <c r="J38" i="3"/>
  <c r="E39" i="2"/>
  <c r="F39" i="3" l="1"/>
  <c r="G39" i="3"/>
  <c r="I39" i="3"/>
  <c r="F39" i="2"/>
  <c r="H40" i="2" s="1"/>
  <c r="G39" i="2"/>
  <c r="H40" i="3" l="1"/>
  <c r="E40" i="3"/>
  <c r="K39" i="3"/>
  <c r="J39" i="3"/>
  <c r="E40" i="2"/>
  <c r="G40" i="3" l="1"/>
  <c r="F40" i="3"/>
  <c r="I40" i="3"/>
  <c r="F40" i="2"/>
  <c r="H41" i="2" s="1"/>
  <c r="G40" i="2"/>
  <c r="H41" i="3" l="1"/>
  <c r="E41" i="3"/>
  <c r="K40" i="3"/>
  <c r="J40" i="3"/>
  <c r="E41" i="2"/>
  <c r="G41" i="3" l="1"/>
  <c r="F41" i="3"/>
  <c r="I41" i="3"/>
  <c r="G41" i="2"/>
  <c r="F41" i="2"/>
  <c r="H42" i="2" s="1"/>
  <c r="H42" i="3" l="1"/>
  <c r="E42" i="3"/>
  <c r="K41" i="3"/>
  <c r="J41" i="3"/>
  <c r="E42" i="2"/>
  <c r="G42" i="3" l="1"/>
  <c r="F42" i="3"/>
  <c r="I42" i="3"/>
  <c r="G42" i="2"/>
  <c r="F42" i="2"/>
  <c r="H43" i="2" s="1"/>
  <c r="H43" i="3" l="1"/>
  <c r="E43" i="3"/>
  <c r="K42" i="3"/>
  <c r="J42" i="3"/>
  <c r="E43" i="2"/>
  <c r="G43" i="3" l="1"/>
  <c r="F43" i="3"/>
  <c r="I43" i="3"/>
  <c r="G43" i="2"/>
  <c r="F43" i="2"/>
  <c r="H44" i="2" s="1"/>
  <c r="H44" i="3" l="1"/>
  <c r="E44" i="3"/>
  <c r="K43" i="3"/>
  <c r="J43" i="3"/>
  <c r="E44" i="2"/>
  <c r="G44" i="3" l="1"/>
  <c r="F44" i="3"/>
  <c r="I44" i="3"/>
  <c r="F44" i="2"/>
  <c r="H45" i="2" s="1"/>
  <c r="G44" i="2"/>
  <c r="H45" i="3" l="1"/>
  <c r="E45" i="3"/>
  <c r="K44" i="3"/>
  <c r="J44" i="3"/>
  <c r="E45" i="2"/>
  <c r="F45" i="3" l="1"/>
  <c r="G45" i="3"/>
  <c r="I45" i="3"/>
  <c r="F45" i="2"/>
  <c r="H46" i="2" s="1"/>
  <c r="G45" i="2"/>
  <c r="H46" i="3" l="1"/>
  <c r="E46" i="3"/>
  <c r="J45" i="3"/>
  <c r="K45" i="3"/>
  <c r="E46" i="2"/>
  <c r="G46" i="3" l="1"/>
  <c r="F46" i="3"/>
  <c r="I46" i="3"/>
  <c r="F46" i="2"/>
  <c r="H47" i="2" s="1"/>
  <c r="G46" i="2"/>
  <c r="H47" i="3" l="1"/>
  <c r="E47" i="3"/>
  <c r="K46" i="3"/>
  <c r="J46" i="3"/>
  <c r="E47" i="2"/>
  <c r="F47" i="3" l="1"/>
  <c r="G47" i="3"/>
  <c r="I47" i="3"/>
  <c r="G47" i="2"/>
  <c r="F47" i="2"/>
  <c r="H48" i="2" s="1"/>
  <c r="H48" i="3" l="1"/>
  <c r="E48" i="3"/>
  <c r="J47" i="3"/>
  <c r="K47" i="3"/>
  <c r="E48" i="2"/>
  <c r="G48" i="3" l="1"/>
  <c r="F48" i="3"/>
  <c r="I48" i="3"/>
  <c r="F48" i="2"/>
  <c r="H49" i="2" s="1"/>
  <c r="G48" i="2"/>
  <c r="H49" i="3" l="1"/>
  <c r="E49" i="3"/>
  <c r="J48" i="3"/>
  <c r="K48" i="3"/>
  <c r="E49" i="2"/>
  <c r="G49" i="3" l="1"/>
  <c r="F49" i="3"/>
  <c r="I49" i="3"/>
  <c r="F49" i="2"/>
  <c r="H50" i="2" s="1"/>
  <c r="G49" i="2"/>
  <c r="H50" i="3" l="1"/>
  <c r="E50" i="3"/>
  <c r="K49" i="3"/>
  <c r="J49" i="3"/>
  <c r="E50" i="2"/>
  <c r="F50" i="3" l="1"/>
  <c r="G50" i="3"/>
  <c r="I50" i="3"/>
  <c r="G50" i="2"/>
  <c r="F50" i="2"/>
  <c r="H51" i="2" s="1"/>
  <c r="H51" i="3" l="1"/>
  <c r="E51" i="3"/>
  <c r="K50" i="3"/>
  <c r="J50" i="3"/>
  <c r="E51" i="2"/>
  <c r="F51" i="3" l="1"/>
  <c r="G51" i="3"/>
  <c r="I51" i="3"/>
  <c r="F51" i="2"/>
  <c r="H52" i="2" s="1"/>
  <c r="G51" i="2"/>
  <c r="H52" i="3" l="1"/>
  <c r="E52" i="3"/>
  <c r="K51" i="3"/>
  <c r="J51" i="3"/>
  <c r="E52" i="2"/>
  <c r="F52" i="3" l="1"/>
  <c r="G52" i="3"/>
  <c r="I52" i="3"/>
  <c r="G52" i="2"/>
  <c r="F52" i="2"/>
  <c r="H53" i="2" s="1"/>
  <c r="H53" i="3" l="1"/>
  <c r="E53" i="3"/>
  <c r="K52" i="3"/>
  <c r="J52" i="3"/>
  <c r="E53" i="2"/>
  <c r="F53" i="3" l="1"/>
  <c r="G53" i="3"/>
  <c r="I53" i="3"/>
  <c r="F53" i="2"/>
  <c r="H54" i="2" s="1"/>
  <c r="G53" i="2"/>
  <c r="H54" i="3" l="1"/>
  <c r="E54" i="3"/>
  <c r="K53" i="3"/>
  <c r="J53" i="3"/>
  <c r="E54" i="2"/>
  <c r="F54" i="3" l="1"/>
  <c r="G54" i="3"/>
  <c r="I54" i="3"/>
  <c r="G54" i="2"/>
  <c r="F54" i="2"/>
  <c r="H55" i="2" s="1"/>
  <c r="H55" i="3" l="1"/>
  <c r="E55" i="3"/>
  <c r="K54" i="3"/>
  <c r="J54" i="3"/>
  <c r="E55" i="2"/>
  <c r="G55" i="3" l="1"/>
  <c r="F55" i="3"/>
  <c r="I55" i="3"/>
  <c r="F55" i="2"/>
  <c r="H56" i="2" s="1"/>
  <c r="G55" i="2"/>
  <c r="H56" i="3" l="1"/>
  <c r="E56" i="3"/>
  <c r="J55" i="3"/>
  <c r="K55" i="3"/>
  <c r="E56" i="2"/>
  <c r="F56" i="3" l="1"/>
  <c r="G56" i="3"/>
  <c r="I56" i="3"/>
  <c r="F56" i="2"/>
  <c r="H57" i="2" s="1"/>
  <c r="G56" i="2"/>
  <c r="H57" i="3" l="1"/>
  <c r="E57" i="3"/>
  <c r="J56" i="3"/>
  <c r="K56" i="3"/>
  <c r="E57" i="2"/>
  <c r="G57" i="3" l="1"/>
  <c r="F57" i="3"/>
  <c r="I57" i="3"/>
  <c r="F57" i="2"/>
  <c r="H58" i="2" s="1"/>
  <c r="G57" i="2"/>
  <c r="H58" i="3" l="1"/>
  <c r="E58" i="3"/>
  <c r="K57" i="3"/>
  <c r="J57" i="3"/>
  <c r="E58" i="2"/>
  <c r="G58" i="3" l="1"/>
  <c r="F58" i="3"/>
  <c r="I58" i="3"/>
  <c r="F58" i="2"/>
  <c r="H59" i="2" s="1"/>
  <c r="G58" i="2"/>
  <c r="H59" i="3" l="1"/>
  <c r="E59" i="3"/>
  <c r="J58" i="3"/>
  <c r="K58" i="3"/>
  <c r="E59" i="2"/>
  <c r="F59" i="3" l="1"/>
  <c r="G59" i="3"/>
  <c r="I59" i="3"/>
  <c r="F59" i="2"/>
  <c r="H60" i="2" s="1"/>
  <c r="G59" i="2"/>
  <c r="H60" i="3" l="1"/>
  <c r="E60" i="3"/>
  <c r="K59" i="3"/>
  <c r="J59" i="3"/>
  <c r="E60" i="2"/>
  <c r="G60" i="3" l="1"/>
  <c r="F60" i="3"/>
  <c r="I60" i="3"/>
  <c r="G60" i="2"/>
  <c r="F60" i="2"/>
  <c r="H61" i="2" s="1"/>
  <c r="H61" i="3" l="1"/>
  <c r="E61" i="3"/>
  <c r="J60" i="3"/>
  <c r="K60" i="3"/>
  <c r="E61" i="2"/>
  <c r="G61" i="3" l="1"/>
  <c r="F61" i="3"/>
  <c r="I61" i="3"/>
  <c r="F61" i="2"/>
  <c r="H62" i="2" s="1"/>
  <c r="G61" i="2"/>
  <c r="H62" i="3" l="1"/>
  <c r="E62" i="3"/>
  <c r="K61" i="3"/>
  <c r="J61" i="3"/>
  <c r="E62" i="2"/>
  <c r="F62" i="3" l="1"/>
  <c r="G62" i="3"/>
  <c r="I62" i="3"/>
  <c r="F62" i="2"/>
  <c r="H63" i="2" s="1"/>
  <c r="G62" i="2"/>
  <c r="H63" i="3" l="1"/>
  <c r="E63" i="3"/>
  <c r="K62" i="3"/>
  <c r="J62" i="3"/>
  <c r="E63" i="2"/>
  <c r="G63" i="3" l="1"/>
  <c r="F63" i="3"/>
  <c r="I63" i="3"/>
  <c r="G63" i="2"/>
  <c r="F63" i="2"/>
  <c r="H64" i="2" s="1"/>
  <c r="H64" i="3" l="1"/>
  <c r="E64" i="3"/>
  <c r="K63" i="3"/>
  <c r="J63" i="3"/>
  <c r="E64" i="2"/>
  <c r="G64" i="3" l="1"/>
  <c r="F64" i="3"/>
  <c r="I64" i="3"/>
  <c r="F64" i="2"/>
  <c r="H65" i="2" s="1"/>
  <c r="G64" i="2"/>
  <c r="H65" i="3" l="1"/>
  <c r="E65" i="3"/>
  <c r="K64" i="3"/>
  <c r="J64" i="3"/>
  <c r="E65" i="2"/>
  <c r="G65" i="3" l="1"/>
  <c r="F65" i="3"/>
  <c r="I65" i="3"/>
  <c r="F65" i="2"/>
  <c r="H66" i="2" s="1"/>
  <c r="G65" i="2"/>
  <c r="H66" i="3" l="1"/>
  <c r="E66" i="3"/>
  <c r="K65" i="3"/>
  <c r="J65" i="3"/>
  <c r="E66" i="2"/>
  <c r="F66" i="3" l="1"/>
  <c r="G66" i="3"/>
  <c r="I66" i="3"/>
  <c r="G66" i="2"/>
  <c r="F66" i="2"/>
  <c r="H67" i="2" s="1"/>
  <c r="H67" i="3" l="1"/>
  <c r="E67" i="3"/>
  <c r="K66" i="3"/>
  <c r="J66" i="3"/>
  <c r="E67" i="2"/>
  <c r="G67" i="3" l="1"/>
  <c r="F67" i="3"/>
  <c r="I67" i="3"/>
  <c r="G67" i="2"/>
  <c r="F67" i="2"/>
  <c r="H68" i="2" s="1"/>
  <c r="H68" i="3" l="1"/>
  <c r="E68" i="3"/>
  <c r="K67" i="3"/>
  <c r="J67" i="3"/>
  <c r="E68" i="2"/>
  <c r="G68" i="3" l="1"/>
  <c r="F68" i="3"/>
  <c r="I68" i="3"/>
  <c r="F68" i="2"/>
  <c r="H69" i="2" s="1"/>
  <c r="G68" i="2"/>
  <c r="H69" i="3" l="1"/>
  <c r="E69" i="3"/>
  <c r="J68" i="3"/>
  <c r="K68" i="3"/>
  <c r="E69" i="2"/>
  <c r="G69" i="3" l="1"/>
  <c r="F69" i="3"/>
  <c r="I69" i="3"/>
  <c r="F69" i="2"/>
  <c r="H70" i="2" s="1"/>
  <c r="G69" i="2"/>
  <c r="H70" i="3" l="1"/>
  <c r="E70" i="3"/>
  <c r="J69" i="3"/>
  <c r="K69" i="3"/>
  <c r="E70" i="2"/>
  <c r="G70" i="3" l="1"/>
  <c r="F70" i="3"/>
  <c r="I70" i="3"/>
  <c r="G70" i="2"/>
  <c r="F70" i="2"/>
  <c r="H71" i="2" s="1"/>
  <c r="H71" i="3" l="1"/>
  <c r="E71" i="3"/>
  <c r="K70" i="3"/>
  <c r="J70" i="3"/>
  <c r="E71" i="2"/>
  <c r="F71" i="3" l="1"/>
  <c r="G71" i="3"/>
  <c r="I71" i="3"/>
  <c r="G71" i="2"/>
  <c r="F71" i="2"/>
  <c r="H72" i="2" s="1"/>
  <c r="H72" i="3" l="1"/>
  <c r="E72" i="3"/>
  <c r="J71" i="3"/>
  <c r="K71" i="3"/>
  <c r="E72" i="2"/>
  <c r="F72" i="3" l="1"/>
  <c r="G72" i="3"/>
  <c r="I72" i="3"/>
  <c r="G72" i="2"/>
  <c r="F72" i="2"/>
  <c r="H73" i="2" s="1"/>
  <c r="H73" i="3" l="1"/>
  <c r="E73" i="3"/>
  <c r="J72" i="3"/>
  <c r="K72" i="3"/>
  <c r="E73" i="2"/>
  <c r="F73" i="3" l="1"/>
  <c r="G73" i="3"/>
  <c r="I73" i="3"/>
  <c r="F73" i="2"/>
  <c r="H74" i="2" s="1"/>
  <c r="G73" i="2"/>
  <c r="H74" i="3" l="1"/>
  <c r="E74" i="3"/>
  <c r="J73" i="3"/>
  <c r="K73" i="3"/>
  <c r="E74" i="2"/>
  <c r="F74" i="3" l="1"/>
  <c r="G74" i="3"/>
  <c r="I74" i="3"/>
  <c r="F74" i="2"/>
  <c r="H75" i="2" s="1"/>
  <c r="G74" i="2"/>
  <c r="H75" i="3" l="1"/>
  <c r="E75" i="3"/>
  <c r="J74" i="3"/>
  <c r="K74" i="3"/>
  <c r="E75" i="2"/>
  <c r="G75" i="3" l="1"/>
  <c r="F75" i="3"/>
  <c r="I75" i="3"/>
  <c r="G75" i="2"/>
  <c r="F75" i="2"/>
  <c r="H76" i="2" s="1"/>
  <c r="H76" i="3" l="1"/>
  <c r="E76" i="3"/>
  <c r="K75" i="3"/>
  <c r="J75" i="3"/>
  <c r="E76" i="2"/>
  <c r="G76" i="3" l="1"/>
  <c r="F76" i="3"/>
  <c r="I76" i="3"/>
  <c r="G76" i="2"/>
  <c r="F76" i="2"/>
  <c r="H77" i="2" s="1"/>
  <c r="H77" i="3" l="1"/>
  <c r="E77" i="3"/>
  <c r="J76" i="3"/>
  <c r="K76" i="3"/>
  <c r="E77" i="2"/>
  <c r="G77" i="3" l="1"/>
  <c r="F77" i="3"/>
  <c r="I77" i="3"/>
  <c r="F77" i="2"/>
  <c r="H78" i="2" s="1"/>
  <c r="G77" i="2"/>
  <c r="H78" i="3" l="1"/>
  <c r="E78" i="3"/>
  <c r="J77" i="3"/>
  <c r="K77" i="3"/>
  <c r="E78" i="2"/>
  <c r="G78" i="3" l="1"/>
  <c r="F78" i="3"/>
  <c r="I78" i="3"/>
  <c r="F78" i="2"/>
  <c r="H79" i="2" s="1"/>
  <c r="G78" i="2"/>
  <c r="H79" i="3" l="1"/>
  <c r="E79" i="3"/>
  <c r="K78" i="3"/>
  <c r="J78" i="3"/>
  <c r="E79" i="2"/>
  <c r="G79" i="3" l="1"/>
  <c r="F79" i="3"/>
  <c r="I79" i="3"/>
  <c r="G79" i="2"/>
  <c r="F79" i="2"/>
  <c r="H80" i="2" s="1"/>
  <c r="H80" i="3" l="1"/>
  <c r="E80" i="3"/>
  <c r="K79" i="3"/>
  <c r="J79" i="3"/>
  <c r="E80" i="2"/>
  <c r="F80" i="3" l="1"/>
  <c r="G80" i="3"/>
  <c r="I80" i="3"/>
  <c r="F80" i="2"/>
  <c r="H81" i="2" s="1"/>
  <c r="G80" i="2"/>
  <c r="H81" i="3" l="1"/>
  <c r="E81" i="3"/>
  <c r="J80" i="3"/>
  <c r="K80" i="3"/>
  <c r="E81" i="2"/>
  <c r="G81" i="3" l="1"/>
  <c r="F81" i="3"/>
  <c r="I81" i="3"/>
  <c r="G81" i="2"/>
  <c r="F81" i="2"/>
  <c r="H82" i="2" s="1"/>
  <c r="H82" i="3" l="1"/>
  <c r="E82" i="3"/>
  <c r="K81" i="3"/>
  <c r="J81" i="3"/>
  <c r="E82" i="2"/>
  <c r="F82" i="3" l="1"/>
  <c r="G82" i="3"/>
  <c r="I82" i="3"/>
  <c r="G82" i="2"/>
  <c r="F82" i="2"/>
  <c r="H83" i="2" s="1"/>
  <c r="H83" i="3" l="1"/>
  <c r="E83" i="3"/>
  <c r="K82" i="3"/>
  <c r="J82" i="3"/>
  <c r="E83" i="2"/>
  <c r="G83" i="3" l="1"/>
  <c r="F83" i="3"/>
  <c r="I83" i="3"/>
  <c r="F83" i="2"/>
  <c r="H84" i="2" s="1"/>
  <c r="G83" i="2"/>
  <c r="H84" i="3" l="1"/>
  <c r="E84" i="3"/>
  <c r="K83" i="3"/>
  <c r="J83" i="3"/>
  <c r="E84" i="2"/>
  <c r="G84" i="3" l="1"/>
  <c r="F84" i="3"/>
  <c r="I84" i="3"/>
  <c r="G84" i="2"/>
  <c r="F84" i="2"/>
  <c r="H85" i="2" s="1"/>
  <c r="H85" i="3" l="1"/>
  <c r="E85" i="3"/>
  <c r="J84" i="3"/>
  <c r="K84" i="3"/>
  <c r="E85" i="2"/>
  <c r="F85" i="3" l="1"/>
  <c r="G85" i="3"/>
  <c r="I85" i="3"/>
  <c r="F85" i="2"/>
  <c r="H86" i="2" s="1"/>
  <c r="G85" i="2"/>
  <c r="H86" i="3" l="1"/>
  <c r="E86" i="3"/>
  <c r="K85" i="3"/>
  <c r="J85" i="3"/>
  <c r="E86" i="2"/>
  <c r="G86" i="3" l="1"/>
  <c r="F86" i="3"/>
  <c r="I86" i="3"/>
  <c r="F86" i="2"/>
  <c r="H87" i="2" s="1"/>
  <c r="G86" i="2"/>
  <c r="H87" i="3" l="1"/>
  <c r="E87" i="3"/>
  <c r="K86" i="3"/>
  <c r="J86" i="3"/>
  <c r="E87" i="2"/>
  <c r="G87" i="3" l="1"/>
  <c r="F87" i="3"/>
  <c r="I87" i="3"/>
  <c r="G87" i="2"/>
  <c r="F87" i="2"/>
  <c r="H88" i="2" s="1"/>
  <c r="H88" i="3" l="1"/>
  <c r="E88" i="3"/>
  <c r="K87" i="3"/>
  <c r="J87" i="3"/>
  <c r="E88" i="2"/>
  <c r="F88" i="3" l="1"/>
  <c r="G88" i="3"/>
  <c r="I88" i="3"/>
  <c r="G88" i="2"/>
  <c r="F88" i="2"/>
  <c r="H89" i="2" s="1"/>
  <c r="H89" i="3" l="1"/>
  <c r="E89" i="3"/>
  <c r="J88" i="3"/>
  <c r="K88" i="3"/>
  <c r="E89" i="2"/>
  <c r="F89" i="3" l="1"/>
  <c r="G89" i="3"/>
  <c r="I89" i="3"/>
  <c r="G89" i="2"/>
  <c r="F89" i="2"/>
  <c r="H90" i="2" s="1"/>
  <c r="H90" i="3" l="1"/>
  <c r="E90" i="3"/>
  <c r="K89" i="3"/>
  <c r="J89" i="3"/>
  <c r="E90" i="2"/>
  <c r="F90" i="3" l="1"/>
  <c r="G90" i="3"/>
  <c r="I90" i="3"/>
  <c r="F90" i="2"/>
  <c r="H91" i="2" s="1"/>
  <c r="G90" i="2"/>
  <c r="H91" i="3" l="1"/>
  <c r="E91" i="3"/>
  <c r="K90" i="3"/>
  <c r="J90" i="3"/>
  <c r="E91" i="2"/>
  <c r="G91" i="3" l="1"/>
  <c r="F91" i="3"/>
  <c r="I91" i="3"/>
  <c r="F91" i="2"/>
  <c r="H92" i="2" s="1"/>
  <c r="G91" i="2"/>
  <c r="H92" i="3" l="1"/>
  <c r="E92" i="3"/>
  <c r="J91" i="3"/>
  <c r="K91" i="3"/>
  <c r="E92" i="2"/>
  <c r="G92" i="3" l="1"/>
  <c r="F92" i="3"/>
  <c r="I92" i="3"/>
  <c r="G92" i="2"/>
  <c r="F92" i="2"/>
  <c r="H93" i="2" s="1"/>
  <c r="H93" i="3" l="1"/>
  <c r="E93" i="3"/>
  <c r="J92" i="3"/>
  <c r="K92" i="3"/>
  <c r="E93" i="2"/>
  <c r="F93" i="3" l="1"/>
  <c r="G93" i="3"/>
  <c r="I93" i="3"/>
  <c r="F93" i="2"/>
  <c r="H94" i="2" s="1"/>
  <c r="G93" i="2"/>
  <c r="H94" i="3" l="1"/>
  <c r="E94" i="3"/>
  <c r="K93" i="3"/>
  <c r="J93" i="3"/>
  <c r="E94" i="2"/>
  <c r="F94" i="3" l="1"/>
  <c r="G94" i="3"/>
  <c r="I94" i="3"/>
  <c r="F94" i="2"/>
  <c r="H95" i="2" s="1"/>
  <c r="G94" i="2"/>
  <c r="H95" i="3" l="1"/>
  <c r="E95" i="3"/>
  <c r="J94" i="3"/>
  <c r="K94" i="3"/>
  <c r="E95" i="2"/>
  <c r="F95" i="3" l="1"/>
  <c r="G95" i="3"/>
  <c r="I95" i="3"/>
  <c r="G95" i="2"/>
  <c r="F95" i="2"/>
  <c r="H96" i="2" s="1"/>
  <c r="H96" i="3" l="1"/>
  <c r="E96" i="3"/>
  <c r="K95" i="3"/>
  <c r="J95" i="3"/>
  <c r="E96" i="2"/>
  <c r="G96" i="3" l="1"/>
  <c r="F96" i="3"/>
  <c r="I96" i="3"/>
  <c r="G96" i="2"/>
  <c r="F96" i="2"/>
  <c r="H97" i="2" s="1"/>
  <c r="H97" i="3" l="1"/>
  <c r="E97" i="3"/>
  <c r="J96" i="3"/>
  <c r="K96" i="3"/>
  <c r="E97" i="2"/>
  <c r="F97" i="3" l="1"/>
  <c r="G97" i="3"/>
  <c r="I97" i="3"/>
  <c r="F97" i="2"/>
  <c r="H98" i="2" s="1"/>
  <c r="G97" i="2"/>
  <c r="H98" i="3" l="1"/>
  <c r="E98" i="3"/>
  <c r="J97" i="3"/>
  <c r="K97" i="3"/>
  <c r="E98" i="2"/>
  <c r="G98" i="3" l="1"/>
  <c r="F98" i="3"/>
  <c r="I98" i="3"/>
  <c r="G98" i="2"/>
  <c r="F98" i="2"/>
  <c r="H99" i="2" s="1"/>
  <c r="H99" i="3" l="1"/>
  <c r="E99" i="3"/>
  <c r="J98" i="3"/>
  <c r="K98" i="3"/>
  <c r="E99" i="2"/>
  <c r="F99" i="3" l="1"/>
  <c r="G99" i="3"/>
  <c r="I99" i="3"/>
  <c r="G99" i="2"/>
  <c r="F99" i="2"/>
  <c r="H100" i="2" s="1"/>
  <c r="H100" i="3" l="1"/>
  <c r="E100" i="3"/>
  <c r="J99" i="3"/>
  <c r="K99" i="3"/>
  <c r="E100" i="2"/>
  <c r="G100" i="3" l="1"/>
  <c r="F100" i="3"/>
  <c r="I100" i="3"/>
  <c r="G100" i="2"/>
  <c r="F100" i="2"/>
  <c r="H101" i="2" s="1"/>
  <c r="H101" i="3" l="1"/>
  <c r="E101" i="3"/>
  <c r="J100" i="3"/>
  <c r="K100" i="3"/>
  <c r="E101" i="2"/>
  <c r="F101" i="3" l="1"/>
  <c r="G101" i="3"/>
  <c r="I101" i="3"/>
  <c r="F101" i="2"/>
  <c r="H102" i="2" s="1"/>
  <c r="G101" i="2"/>
  <c r="H102" i="3" l="1"/>
  <c r="E102" i="3"/>
  <c r="K101" i="3"/>
  <c r="J101" i="3"/>
  <c r="E102" i="2"/>
  <c r="G102" i="3" l="1"/>
  <c r="F102" i="3"/>
  <c r="I102" i="3"/>
  <c r="F102" i="2"/>
  <c r="H103" i="2" s="1"/>
  <c r="G102" i="2"/>
  <c r="H103" i="3" l="1"/>
  <c r="E103" i="3"/>
  <c r="J102" i="3"/>
  <c r="K102" i="3"/>
  <c r="E103" i="2"/>
  <c r="G103" i="3" l="1"/>
  <c r="F103" i="3"/>
  <c r="I103" i="3"/>
  <c r="F103" i="2"/>
  <c r="H104" i="2" s="1"/>
  <c r="G103" i="2"/>
  <c r="H104" i="3" l="1"/>
  <c r="E104" i="3"/>
  <c r="K103" i="3"/>
  <c r="J103" i="3"/>
  <c r="E104" i="2"/>
  <c r="G104" i="3" l="1"/>
  <c r="F104" i="3"/>
  <c r="I104" i="3"/>
  <c r="G104" i="2"/>
  <c r="F104" i="2"/>
  <c r="H105" i="2" s="1"/>
  <c r="H105" i="3" l="1"/>
  <c r="E105" i="3"/>
  <c r="J104" i="3"/>
  <c r="K104" i="3"/>
  <c r="E105" i="2"/>
  <c r="F105" i="3" l="1"/>
  <c r="G105" i="3"/>
  <c r="I105" i="3"/>
  <c r="F105" i="2"/>
  <c r="H106" i="2" s="1"/>
  <c r="G105" i="2"/>
  <c r="H106" i="3" l="1"/>
  <c r="E106" i="3"/>
  <c r="K105" i="3"/>
  <c r="J105" i="3"/>
  <c r="E106" i="2"/>
  <c r="G106" i="3" l="1"/>
  <c r="F106" i="3"/>
  <c r="I106" i="3"/>
  <c r="G106" i="2"/>
  <c r="F106" i="2"/>
  <c r="H107" i="2" s="1"/>
  <c r="H107" i="3" l="1"/>
  <c r="E107" i="3"/>
  <c r="K106" i="3"/>
  <c r="J106" i="3"/>
  <c r="E107" i="2"/>
  <c r="F107" i="3" l="1"/>
  <c r="G107" i="3"/>
  <c r="I107" i="3"/>
  <c r="G107" i="2"/>
  <c r="F107" i="2"/>
  <c r="H108" i="2" s="1"/>
  <c r="H108" i="3" l="1"/>
  <c r="E108" i="3"/>
  <c r="K107" i="3"/>
  <c r="J107" i="3"/>
  <c r="E108" i="2"/>
  <c r="G108" i="3" l="1"/>
  <c r="F108" i="3"/>
  <c r="I108" i="3"/>
  <c r="F108" i="2"/>
  <c r="H109" i="2" s="1"/>
  <c r="G108" i="2"/>
  <c r="H109" i="3" l="1"/>
  <c r="E109" i="3"/>
  <c r="K108" i="3"/>
  <c r="J108" i="3"/>
  <c r="E109" i="2"/>
  <c r="G109" i="3" l="1"/>
  <c r="F109" i="3"/>
  <c r="I109" i="3"/>
  <c r="G109" i="2"/>
  <c r="F109" i="2"/>
  <c r="H110" i="2" s="1"/>
  <c r="H110" i="3" l="1"/>
  <c r="E110" i="3"/>
  <c r="J109" i="3"/>
  <c r="K109" i="3"/>
  <c r="E110" i="2"/>
  <c r="G110" i="3" l="1"/>
  <c r="F110" i="3"/>
  <c r="I110" i="3"/>
  <c r="G110" i="2"/>
  <c r="F110" i="2"/>
  <c r="H111" i="2" s="1"/>
  <c r="H111" i="3" l="1"/>
  <c r="E111" i="3"/>
  <c r="J110" i="3"/>
  <c r="K110" i="3"/>
  <c r="E111" i="2"/>
  <c r="F111" i="3" l="1"/>
  <c r="G111" i="3"/>
  <c r="I111" i="3"/>
  <c r="G111" i="2"/>
  <c r="F111" i="2"/>
  <c r="H112" i="2" s="1"/>
  <c r="H112" i="3" l="1"/>
  <c r="E112" i="3"/>
  <c r="K111" i="3"/>
  <c r="J111" i="3"/>
  <c r="E112" i="2"/>
  <c r="F112" i="3" l="1"/>
  <c r="G112" i="3"/>
  <c r="I112" i="3"/>
  <c r="G112" i="2"/>
  <c r="F112" i="2"/>
  <c r="H113" i="2" s="1"/>
  <c r="H113" i="3" l="1"/>
  <c r="E113" i="3"/>
  <c r="K112" i="3"/>
  <c r="J112" i="3"/>
  <c r="E113" i="2"/>
  <c r="G113" i="3" l="1"/>
  <c r="F113" i="3"/>
  <c r="I113" i="3"/>
  <c r="F113" i="2"/>
  <c r="H114" i="2" s="1"/>
  <c r="G113" i="2"/>
  <c r="H114" i="3" l="1"/>
  <c r="E114" i="3"/>
  <c r="J113" i="3"/>
  <c r="K113" i="3"/>
  <c r="E114" i="2"/>
  <c r="G114" i="3" l="1"/>
  <c r="F114" i="3"/>
  <c r="I114" i="3"/>
  <c r="G114" i="2"/>
  <c r="F114" i="2"/>
  <c r="H115" i="2" s="1"/>
  <c r="H115" i="3" l="1"/>
  <c r="E115" i="3"/>
  <c r="J114" i="3"/>
  <c r="K114" i="3"/>
  <c r="E115" i="2"/>
  <c r="G115" i="3" l="1"/>
  <c r="F115" i="3"/>
  <c r="I115" i="3"/>
  <c r="G115" i="2"/>
  <c r="F115" i="2"/>
  <c r="H116" i="2" s="1"/>
  <c r="H116" i="3" l="1"/>
  <c r="E116" i="3"/>
  <c r="J115" i="3"/>
  <c r="K115" i="3"/>
  <c r="E116" i="2"/>
  <c r="G116" i="3" l="1"/>
  <c r="F116" i="3"/>
  <c r="I116" i="3"/>
  <c r="F116" i="2"/>
  <c r="H117" i="2" s="1"/>
  <c r="G116" i="2"/>
  <c r="H117" i="3" l="1"/>
  <c r="E117" i="3"/>
  <c r="K116" i="3"/>
  <c r="J116" i="3"/>
  <c r="E117" i="2"/>
  <c r="F117" i="3" l="1"/>
  <c r="G117" i="3"/>
  <c r="I117" i="3"/>
  <c r="F117" i="2"/>
  <c r="H118" i="2" s="1"/>
  <c r="G117" i="2"/>
  <c r="H118" i="3" l="1"/>
  <c r="E118" i="3"/>
  <c r="K117" i="3"/>
  <c r="J117" i="3"/>
  <c r="E118" i="2"/>
  <c r="G118" i="3" l="1"/>
  <c r="F118" i="3"/>
  <c r="I118" i="3"/>
  <c r="F118" i="2"/>
  <c r="H119" i="2" s="1"/>
  <c r="G118" i="2"/>
  <c r="H119" i="3" l="1"/>
  <c r="E119" i="3"/>
  <c r="K118" i="3"/>
  <c r="J118" i="3"/>
  <c r="E119" i="2"/>
  <c r="F119" i="3" l="1"/>
  <c r="G119" i="3"/>
  <c r="I119" i="3"/>
  <c r="G119" i="2"/>
  <c r="F119" i="2"/>
  <c r="H120" i="2" s="1"/>
  <c r="H120" i="3" l="1"/>
  <c r="E120" i="3"/>
  <c r="F120" i="3" s="1"/>
  <c r="J119" i="3"/>
  <c r="K119" i="3"/>
  <c r="E120" i="2"/>
  <c r="G120" i="3" l="1"/>
  <c r="H121" i="3"/>
  <c r="E121" i="3"/>
  <c r="I120" i="3"/>
  <c r="G120" i="2"/>
  <c r="F120" i="2"/>
  <c r="H121" i="2" s="1"/>
  <c r="G121" i="3" l="1"/>
  <c r="F121" i="3"/>
  <c r="I121" i="3" s="1"/>
  <c r="K121" i="3" s="1"/>
  <c r="J120" i="3"/>
  <c r="K120" i="3"/>
  <c r="E121" i="2"/>
  <c r="E122" i="3" l="1"/>
  <c r="H122" i="3"/>
  <c r="I122" i="3" s="1"/>
  <c r="J121" i="3"/>
  <c r="G121" i="2"/>
  <c r="F121" i="2"/>
  <c r="J122" i="3" l="1"/>
  <c r="K122" i="3"/>
  <c r="F122" i="3"/>
  <c r="H123" i="3" s="1"/>
  <c r="I123" i="3" s="1"/>
  <c r="G122" i="3"/>
  <c r="E123" i="3" l="1"/>
  <c r="G123" i="3" s="1"/>
  <c r="J123" i="3"/>
  <c r="K123" i="3"/>
  <c r="F123" i="3" l="1"/>
  <c r="E124" i="3" s="1"/>
  <c r="G124" i="3" s="1"/>
  <c r="F124" i="3" l="1"/>
  <c r="E125" i="3" s="1"/>
  <c r="H124" i="3"/>
  <c r="I124" i="3" s="1"/>
  <c r="K124" i="3" s="1"/>
  <c r="I125" i="3"/>
  <c r="M20" i="3" s="1" a="1"/>
  <c r="M20" i="3" s="1"/>
  <c r="F125" i="3"/>
  <c r="G125" i="3"/>
  <c r="J124" i="3" l="1"/>
  <c r="J125" i="3"/>
  <c r="N20" i="3" s="1"/>
  <c r="K125" i="3"/>
  <c r="O2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<sst xmlns="http://schemas.openxmlformats.org/spreadsheetml/2006/main" count="388" uniqueCount="64">
  <si>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</si>
  <si>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</si>
  <si>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</si>
  <si>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</si>
  <si>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</si>
  <si>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</si>
  <si>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</si>
  <si>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</si>
  <si>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</si>
  <si>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</si>
  <si>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</si>
  <si>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</si>
  <si>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</si>
  <si>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</si>
  <si>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</si>
  <si>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</si>
  <si>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</si>
  <si>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</si>
  <si>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</si>
  <si>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</si>
  <si>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</si>
  <si>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</si>
  <si>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</si>
  <si>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2016</t>
  </si>
  <si>
    <t>Year</t>
  </si>
  <si>
    <t>Units</t>
  </si>
  <si>
    <t>Labels</t>
  </si>
  <si>
    <t>a</t>
  </si>
  <si>
    <t>b</t>
  </si>
  <si>
    <t>g</t>
  </si>
  <si>
    <t>Level (Lt)</t>
  </si>
  <si>
    <t>Trend (Tt)</t>
  </si>
  <si>
    <t>Seasonality(St)</t>
  </si>
  <si>
    <t xml:space="preserve">Level </t>
  </si>
  <si>
    <t xml:space="preserve">Trend </t>
  </si>
  <si>
    <t>Initializing</t>
  </si>
  <si>
    <t>Residual</t>
  </si>
  <si>
    <t>Min</t>
  </si>
  <si>
    <t>Max</t>
  </si>
  <si>
    <t>16-Dec</t>
  </si>
  <si>
    <t>Initial Period</t>
  </si>
  <si>
    <t>Model</t>
  </si>
  <si>
    <t>MAE</t>
  </si>
  <si>
    <t>MSE</t>
  </si>
  <si>
    <t>MAPE</t>
  </si>
  <si>
    <t>Residual^2</t>
  </si>
  <si>
    <t>% Error</t>
  </si>
  <si>
    <t>Forcast Month</t>
  </si>
  <si>
    <t>Actual Sales</t>
  </si>
  <si>
    <t>Revenue</t>
  </si>
  <si>
    <t>26-May</t>
  </si>
  <si>
    <t>26-Jun</t>
  </si>
  <si>
    <t>26-Jul</t>
  </si>
  <si>
    <t>26-Sep</t>
  </si>
  <si>
    <t>26-Aug</t>
  </si>
  <si>
    <t>26-Oct</t>
  </si>
  <si>
    <t>26-Nov</t>
  </si>
  <si>
    <t>26-Dec</t>
  </si>
  <si>
    <t>27-Jan</t>
  </si>
  <si>
    <t>27-Feb</t>
  </si>
  <si>
    <t>27-Mar</t>
  </si>
  <si>
    <t>27-Apr</t>
  </si>
  <si>
    <t>Board Price</t>
  </si>
  <si>
    <t>MSRP (Sales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</si>
</sst>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Symbol"/>
      <charset val="2"/>
    </font>
    <font>
      <b/>
      <sz val="14"/>
      <color rgb="FFD9D9D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0" fontId="3" fillId="0" borderId="0" xfId="0" quotePrefix="1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3" fontId="2" fillId="0" borderId="8" xfId="0" applyNumberFormat="1" applyFont="1" applyBorder="1"/>
    <xf numFmtId="0" fontId="2" fillId="0" borderId="8" xfId="0" applyFont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3" fontId="2" fillId="0" borderId="11" xfId="0" applyNumberFormat="1" applyFont="1" applyBorder="1"/>
    <xf numFmtId="0" fontId="2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3" fontId="2" fillId="0" borderId="16" xfId="0" applyNumberFormat="1" applyFont="1" applyBorder="1"/>
    <xf numFmtId="3" fontId="2" fillId="0" borderId="12" xfId="0" applyNumberFormat="1" applyFont="1" applyBorder="1"/>
    <xf numFmtId="0" fontId="3" fillId="0" borderId="1" xfId="0" applyFont="1" applyBorder="1"/>
    <xf numFmtId="3" fontId="3" fillId="0" borderId="17" xfId="0" applyNumberFormat="1" applyFont="1" applyBorder="1"/>
    <xf numFmtId="3" fontId="3" fillId="0" borderId="18" xfId="0" applyNumberFormat="1" applyFont="1" applyBorder="1"/>
    <xf numFmtId="3" fontId="3" fillId="0" borderId="19" xfId="0" applyNumberFormat="1" applyFont="1" applyBorder="1"/>
    <xf numFmtId="0" fontId="3" fillId="0" borderId="20" xfId="0" applyFont="1" applyBorder="1"/>
    <xf numFmtId="3" fontId="5" fillId="0" borderId="18" xfId="0" applyNumberFormat="1" applyFont="1" applyBorder="1"/>
    <xf numFmtId="3" fontId="5" fillId="0" borderId="19" xfId="0" applyNumberFormat="1" applyFont="1" applyBorder="1"/>
    <xf numFmtId="0" fontId="5" fillId="0" borderId="6" xfId="0" applyFont="1" applyBorder="1"/>
    <xf numFmtId="0" fontId="0" fillId="0" borderId="6" xfId="0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3" fillId="0" borderId="2" xfId="0" applyFont="1" applyBorder="1"/>
    <xf numFmtId="3" fontId="0" fillId="0" borderId="3" xfId="0" applyNumberFormat="1" applyBorder="1"/>
    <xf numFmtId="0" fontId="6" fillId="0" borderId="24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4" fontId="0" fillId="0" borderId="0" xfId="0" applyNumberFormat="1"/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9" fontId="0" fillId="0" borderId="0" xfId="1" applyFont="1"/>
    <xf numFmtId="0" fontId="3" fillId="0" borderId="26" xfId="0" quotePrefix="1" applyFont="1" applyBorder="1"/>
    <xf numFmtId="0" fontId="3" fillId="0" borderId="27" xfId="0" quotePrefix="1" applyFont="1" applyBorder="1"/>
    <xf numFmtId="3" fontId="2" fillId="0" borderId="31" xfId="0" applyNumberFormat="1" applyFont="1" applyBorder="1"/>
    <xf numFmtId="3" fontId="2" fillId="0" borderId="32" xfId="0" applyNumberFormat="1" applyFont="1" applyBorder="1"/>
    <xf numFmtId="0" fontId="2" fillId="0" borderId="32" xfId="0" applyFont="1" applyBorder="1"/>
    <xf numFmtId="3" fontId="2" fillId="0" borderId="33" xfId="0" applyNumberFormat="1" applyFont="1" applyBorder="1"/>
    <xf numFmtId="0" fontId="3" fillId="0" borderId="25" xfId="0" quotePrefix="1" applyFont="1" applyBorder="1"/>
    <xf numFmtId="3" fontId="5" fillId="0" borderId="17" xfId="0" applyNumberFormat="1" applyFont="1" applyBorder="1"/>
    <xf numFmtId="0" fontId="5" fillId="0" borderId="8" xfId="0" applyFont="1" applyBorder="1"/>
    <xf numFmtId="3" fontId="5" fillId="3" borderId="8" xfId="0" applyNumberFormat="1" applyFont="1" applyFill="1" applyBorder="1"/>
    <xf numFmtId="9" fontId="5" fillId="3" borderId="8" xfId="1" applyFont="1" applyFill="1" applyBorder="1"/>
    <xf numFmtId="16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 readingOrder="1"/>
    </xf>
    <xf numFmtId="16" fontId="0" fillId="0" borderId="0" xfId="0" applyNumberFormat="1"/>
    <xf numFmtId="16" fontId="5" fillId="0" borderId="0" xfId="0" quotePrefix="1" applyNumberFormat="1" applyFont="1" applyAlignment="1">
      <alignment horizontal="left"/>
    </xf>
    <xf numFmtId="3" fontId="3" fillId="0" borderId="0" xfId="0" applyNumberFormat="1" applyFont="1"/>
    <xf numFmtId="8" fontId="3" fillId="0" borderId="0" xfId="0" applyNumberFormat="1" applyFont="1"/>
    <xf numFmtId="44" fontId="2" fillId="0" borderId="0" xfId="2" applyFont="1"/>
    <xf numFmtId="0" fontId="0" fillId="0" borderId="0" xfId="0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EA717"/>
      <color rgb="FFFF27D4"/>
      <color rgb="FF8A19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total</a:t>
            </a:r>
            <a:r>
              <a:rPr lang="en-US" baseline="0"/>
              <a:t> Sales </a:t>
            </a:r>
          </a:p>
          <a:p>
            <a:pPr>
              <a:defRPr/>
            </a:pPr>
            <a:r>
              <a:rPr lang="en-US" baseline="0"/>
              <a:t>(non-Inflated)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Data'!$B$1:$K$1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'Raw Data'!$B$19:$K$19</c:f>
              <c:numCache>
                <c:formatCode>_("$"* #,##0.00_);_("$"* \(#,##0.00\);_("$"* "-"??_);_(@_)</c:formatCode>
                <c:ptCount val="10"/>
                <c:pt idx="0">
                  <c:v>8994357.5</c:v>
                </c:pt>
                <c:pt idx="1">
                  <c:v>10262367.050000001</c:v>
                </c:pt>
                <c:pt idx="2">
                  <c:v>9813095.75</c:v>
                </c:pt>
                <c:pt idx="3">
                  <c:v>8289947.3000000007</c:v>
                </c:pt>
                <c:pt idx="4">
                  <c:v>11701589.850000001</c:v>
                </c:pt>
                <c:pt idx="5">
                  <c:v>12375226.5</c:v>
                </c:pt>
                <c:pt idx="6">
                  <c:v>11304893.4</c:v>
                </c:pt>
                <c:pt idx="7">
                  <c:v>13294139.100000001</c:v>
                </c:pt>
                <c:pt idx="8">
                  <c:v>14295309.050000001</c:v>
                </c:pt>
                <c:pt idx="9">
                  <c:v>14689685.850000001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0048-9526-3C6B97D709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18107968"/>
        <c:axId val="1349107056"/>
      </c:lineChart>
      <c:catAx>
        <c:axId val="17181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07056"/>
        <c:crosses val="autoZero"/>
        <c:auto val="1"/>
        <c:lblAlgn val="ctr"/>
        <c:lblOffset val="100"/>
        <c:noMultiLvlLbl val="0"/>
      </c:catAx>
      <c:valAx>
        <c:axId val="134910705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181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Max &amp; Min Trend </a:t>
            </a:r>
          </a:p>
        </c:rich>
      </c:tx>
      <c:layout>
        <c:manualLayout>
          <c:xMode val="edge"/>
          <c:yMode val="edge"/>
          <c:x val="0.38300537085642072"/>
          <c:y val="5.637982195845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'Raw Data'!$A$15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Data'!$B$1:$K$1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'Raw Data'!$B$15:$K$15</c:f>
              <c:numCache>
                <c:formatCode>#,##0</c:formatCode>
                <c:ptCount val="10"/>
                <c:pt idx="0">
                  <c:v>67</c:v>
                </c:pt>
                <c:pt idx="1">
                  <c:v>59</c:v>
                </c:pt>
                <c:pt idx="2">
                  <c:v>66</c:v>
                </c:pt>
                <c:pt idx="3">
                  <c:v>49</c:v>
                </c:pt>
                <c:pt idx="4">
                  <c:v>69</c:v>
                </c:pt>
                <c:pt idx="5">
                  <c:v>74</c:v>
                </c:pt>
                <c:pt idx="6">
                  <c:v>77</c:v>
                </c:pt>
                <c:pt idx="7">
                  <c:v>82</c:v>
                </c:pt>
                <c:pt idx="8">
                  <c:v>78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4-EA42-9EB9-E7A9FEF6A7B7}"/>
            </c:ext>
          </c:extLst>
        </c:ser>
        <c:ser>
          <c:idx val="1"/>
          <c:order val="1"/>
          <c:tx>
            <c:strRef>
              <c:f>'Raw Data'!$A$16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Data'!$B$1:$K$1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'Raw Data'!$B$16:$K$16</c:f>
              <c:numCache>
                <c:formatCode>#,##0</c:formatCode>
                <c:ptCount val="10"/>
                <c:pt idx="0">
                  <c:v>2503</c:v>
                </c:pt>
                <c:pt idx="1">
                  <c:v>2863</c:v>
                </c:pt>
                <c:pt idx="2">
                  <c:v>2642</c:v>
                </c:pt>
                <c:pt idx="3">
                  <c:v>2167</c:v>
                </c:pt>
                <c:pt idx="4">
                  <c:v>2941</c:v>
                </c:pt>
                <c:pt idx="5">
                  <c:v>3213</c:v>
                </c:pt>
                <c:pt idx="6">
                  <c:v>2637</c:v>
                </c:pt>
                <c:pt idx="7">
                  <c:v>3650</c:v>
                </c:pt>
                <c:pt idx="8">
                  <c:v>3302</c:v>
                </c:pt>
                <c:pt idx="9">
                  <c:v>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4-EA42-9EB9-E7A9FEF6A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180911"/>
        <c:axId val="1509428592"/>
      </c:lineChart>
      <c:catAx>
        <c:axId val="1970180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428592"/>
        <c:crosses val="autoZero"/>
        <c:auto val="1"/>
        <c:lblAlgn val="ctr"/>
        <c:lblOffset val="100"/>
        <c:noMultiLvlLbl val="0"/>
      </c:catAx>
      <c:valAx>
        <c:axId val="1509428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8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949681637017597"/>
          <c:y val="8.3353115727002977E-2"/>
          <c:w val="0.12503267427064355"/>
          <c:h val="5.0223565804274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Butron Custom X 2016-2015</a:t>
            </a:r>
            <a:r>
              <a:rPr lang="en-US" baseline="0"/>
              <a:t> Unit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2016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Data'!$B$2:$B$13</c:f>
              <c:numCache>
                <c:formatCode>#,##0</c:formatCode>
                <c:ptCount val="12"/>
                <c:pt idx="0">
                  <c:v>1155</c:v>
                </c:pt>
                <c:pt idx="1">
                  <c:v>904</c:v>
                </c:pt>
                <c:pt idx="2" formatCode="General">
                  <c:v>757</c:v>
                </c:pt>
                <c:pt idx="3" formatCode="General">
                  <c:v>394</c:v>
                </c:pt>
                <c:pt idx="4" formatCode="General">
                  <c:v>130</c:v>
                </c:pt>
                <c:pt idx="5" formatCode="General">
                  <c:v>67</c:v>
                </c:pt>
                <c:pt idx="6" formatCode="General">
                  <c:v>72</c:v>
                </c:pt>
                <c:pt idx="7" formatCode="General">
                  <c:v>123</c:v>
                </c:pt>
                <c:pt idx="8">
                  <c:v>2187</c:v>
                </c:pt>
                <c:pt idx="9">
                  <c:v>2467</c:v>
                </c:pt>
                <c:pt idx="10">
                  <c:v>2091</c:v>
                </c:pt>
                <c:pt idx="11">
                  <c:v>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2-2946-94A7-5422E19C5B82}"/>
            </c:ext>
          </c:extLst>
        </c:ser>
        <c:ser>
          <c:idx val="1"/>
          <c:order val="1"/>
          <c:tx>
            <c:strRef>
              <c:f>'Raw Data'!$C$1</c:f>
              <c:strCache>
                <c:ptCount val="1"/>
                <c:pt idx="0">
                  <c:v>2017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Data'!$C$2:$C$13</c:f>
              <c:numCache>
                <c:formatCode>#,##0</c:formatCode>
                <c:ptCount val="12"/>
                <c:pt idx="0">
                  <c:v>1176</c:v>
                </c:pt>
                <c:pt idx="1">
                  <c:v>1066</c:v>
                </c:pt>
                <c:pt idx="2" formatCode="General">
                  <c:v>830</c:v>
                </c:pt>
                <c:pt idx="3" formatCode="General">
                  <c:v>426</c:v>
                </c:pt>
                <c:pt idx="4" formatCode="General">
                  <c:v>136</c:v>
                </c:pt>
                <c:pt idx="5" formatCode="General">
                  <c:v>59</c:v>
                </c:pt>
                <c:pt idx="6" formatCode="General">
                  <c:v>69</c:v>
                </c:pt>
                <c:pt idx="7" formatCode="General">
                  <c:v>136</c:v>
                </c:pt>
                <c:pt idx="8">
                  <c:v>2504</c:v>
                </c:pt>
                <c:pt idx="9">
                  <c:v>2402</c:v>
                </c:pt>
                <c:pt idx="10">
                  <c:v>2392</c:v>
                </c:pt>
                <c:pt idx="11">
                  <c:v>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2-2946-94A7-5422E19C5B82}"/>
            </c:ext>
          </c:extLst>
        </c:ser>
        <c:ser>
          <c:idx val="2"/>
          <c:order val="2"/>
          <c:tx>
            <c:strRef>
              <c:f>'Raw Data'!$D$1</c:f>
              <c:strCache>
                <c:ptCount val="1"/>
                <c:pt idx="0">
                  <c:v>2018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Data'!$D$2:$D$13</c:f>
              <c:numCache>
                <c:formatCode>#,##0</c:formatCode>
                <c:ptCount val="12"/>
                <c:pt idx="0">
                  <c:v>1503</c:v>
                </c:pt>
                <c:pt idx="1">
                  <c:v>1024</c:v>
                </c:pt>
                <c:pt idx="2" formatCode="General">
                  <c:v>753</c:v>
                </c:pt>
                <c:pt idx="3" formatCode="General">
                  <c:v>391</c:v>
                </c:pt>
                <c:pt idx="4" formatCode="General">
                  <c:v>128</c:v>
                </c:pt>
                <c:pt idx="5" formatCode="General">
                  <c:v>66</c:v>
                </c:pt>
                <c:pt idx="6" formatCode="General">
                  <c:v>70</c:v>
                </c:pt>
                <c:pt idx="7" formatCode="General">
                  <c:v>116</c:v>
                </c:pt>
                <c:pt idx="8">
                  <c:v>1968</c:v>
                </c:pt>
                <c:pt idx="9">
                  <c:v>2379</c:v>
                </c:pt>
                <c:pt idx="10">
                  <c:v>2045</c:v>
                </c:pt>
                <c:pt idx="11">
                  <c:v>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2-2946-94A7-5422E19C5B82}"/>
            </c:ext>
          </c:extLst>
        </c:ser>
        <c:ser>
          <c:idx val="3"/>
          <c:order val="3"/>
          <c:tx>
            <c:strRef>
              <c:f>'Raw Data'!$E$1</c:f>
              <c:strCache>
                <c:ptCount val="1"/>
                <c:pt idx="0">
                  <c:v>2019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Data'!$E$2:$E$13</c:f>
              <c:numCache>
                <c:formatCode>General</c:formatCode>
                <c:ptCount val="12"/>
                <c:pt idx="0" formatCode="#,##0">
                  <c:v>998</c:v>
                </c:pt>
                <c:pt idx="1">
                  <c:v>1007</c:v>
                </c:pt>
                <c:pt idx="2">
                  <c:v>755</c:v>
                </c:pt>
                <c:pt idx="3">
                  <c:v>278</c:v>
                </c:pt>
                <c:pt idx="4">
                  <c:v>118</c:v>
                </c:pt>
                <c:pt idx="5">
                  <c:v>67</c:v>
                </c:pt>
                <c:pt idx="6">
                  <c:v>49</c:v>
                </c:pt>
                <c:pt idx="7">
                  <c:v>121</c:v>
                </c:pt>
                <c:pt idx="8" formatCode="#,##0">
                  <c:v>2055</c:v>
                </c:pt>
                <c:pt idx="9" formatCode="#,##0">
                  <c:v>1864</c:v>
                </c:pt>
                <c:pt idx="10" formatCode="#,##0">
                  <c:v>1575</c:v>
                </c:pt>
                <c:pt idx="11" formatCode="#,##0">
                  <c:v>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B2-2946-94A7-5422E19C5B82}"/>
            </c:ext>
          </c:extLst>
        </c:ser>
        <c:ser>
          <c:idx val="4"/>
          <c:order val="4"/>
          <c:tx>
            <c:strRef>
              <c:f>'Raw Data'!$F$1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Data'!$F$2:$F$13</c:f>
              <c:numCache>
                <c:formatCode>#,##0</c:formatCode>
                <c:ptCount val="12"/>
                <c:pt idx="0">
                  <c:v>1569</c:v>
                </c:pt>
                <c:pt idx="1">
                  <c:v>1172</c:v>
                </c:pt>
                <c:pt idx="2" formatCode="General">
                  <c:v>834</c:v>
                </c:pt>
                <c:pt idx="3" formatCode="General">
                  <c:v>444</c:v>
                </c:pt>
                <c:pt idx="4" formatCode="General">
                  <c:v>158</c:v>
                </c:pt>
                <c:pt idx="5" formatCode="General">
                  <c:v>69</c:v>
                </c:pt>
                <c:pt idx="6" formatCode="General">
                  <c:v>85</c:v>
                </c:pt>
                <c:pt idx="7" formatCode="General">
                  <c:v>173</c:v>
                </c:pt>
                <c:pt idx="8">
                  <c:v>2795</c:v>
                </c:pt>
                <c:pt idx="9">
                  <c:v>2593</c:v>
                </c:pt>
                <c:pt idx="10">
                  <c:v>2170</c:v>
                </c:pt>
                <c:pt idx="11">
                  <c:v>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B2-2946-94A7-5422E19C5B82}"/>
            </c:ext>
          </c:extLst>
        </c:ser>
        <c:ser>
          <c:idx val="5"/>
          <c:order val="5"/>
          <c:tx>
            <c:strRef>
              <c:f>'Raw Data'!$G$1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Data'!$G$2:$G$13</c:f>
              <c:numCache>
                <c:formatCode>#,##0</c:formatCode>
                <c:ptCount val="12"/>
                <c:pt idx="0">
                  <c:v>1563</c:v>
                </c:pt>
                <c:pt idx="1">
                  <c:v>1334</c:v>
                </c:pt>
                <c:pt idx="2" formatCode="General">
                  <c:v>842</c:v>
                </c:pt>
                <c:pt idx="3" formatCode="General">
                  <c:v>468</c:v>
                </c:pt>
                <c:pt idx="4" formatCode="General">
                  <c:v>150</c:v>
                </c:pt>
                <c:pt idx="5" formatCode="General">
                  <c:v>74</c:v>
                </c:pt>
                <c:pt idx="6" formatCode="General">
                  <c:v>75</c:v>
                </c:pt>
                <c:pt idx="7" formatCode="General">
                  <c:v>150</c:v>
                </c:pt>
                <c:pt idx="8">
                  <c:v>3213</c:v>
                </c:pt>
                <c:pt idx="9">
                  <c:v>2675</c:v>
                </c:pt>
                <c:pt idx="10">
                  <c:v>2150</c:v>
                </c:pt>
                <c:pt idx="11">
                  <c:v>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B2-2946-94A7-5422E19C5B82}"/>
            </c:ext>
          </c:extLst>
        </c:ser>
        <c:ser>
          <c:idx val="6"/>
          <c:order val="6"/>
          <c:tx>
            <c:strRef>
              <c:f>'Raw Data'!$H$1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bg1">
                  <a:lumMod val="95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Data'!$H$2:$H$13</c:f>
              <c:numCache>
                <c:formatCode>#,##0</c:formatCode>
                <c:ptCount val="12"/>
                <c:pt idx="0">
                  <c:v>1364</c:v>
                </c:pt>
                <c:pt idx="1">
                  <c:v>1280</c:v>
                </c:pt>
                <c:pt idx="2" formatCode="General">
                  <c:v>719</c:v>
                </c:pt>
                <c:pt idx="3" formatCode="General">
                  <c:v>498</c:v>
                </c:pt>
                <c:pt idx="4" formatCode="General">
                  <c:v>160</c:v>
                </c:pt>
                <c:pt idx="5" formatCode="General">
                  <c:v>88</c:v>
                </c:pt>
                <c:pt idx="6" formatCode="General">
                  <c:v>77</c:v>
                </c:pt>
                <c:pt idx="7" formatCode="General">
                  <c:v>158</c:v>
                </c:pt>
                <c:pt idx="8">
                  <c:v>2637</c:v>
                </c:pt>
                <c:pt idx="9">
                  <c:v>2294</c:v>
                </c:pt>
                <c:pt idx="10">
                  <c:v>2242</c:v>
                </c:pt>
                <c:pt idx="11">
                  <c:v>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B2-2946-94A7-5422E19C5B82}"/>
            </c:ext>
          </c:extLst>
        </c:ser>
        <c:ser>
          <c:idx val="7"/>
          <c:order val="7"/>
          <c:tx>
            <c:strRef>
              <c:f>'Raw Data'!$I$1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Data'!$I$2:$I$13</c:f>
              <c:numCache>
                <c:formatCode>#,##0</c:formatCode>
                <c:ptCount val="12"/>
                <c:pt idx="0">
                  <c:v>1572</c:v>
                </c:pt>
                <c:pt idx="1">
                  <c:v>1261</c:v>
                </c:pt>
                <c:pt idx="2" formatCode="General">
                  <c:v>985</c:v>
                </c:pt>
                <c:pt idx="3" formatCode="General">
                  <c:v>481</c:v>
                </c:pt>
                <c:pt idx="4" formatCode="General">
                  <c:v>158</c:v>
                </c:pt>
                <c:pt idx="5" formatCode="General">
                  <c:v>82</c:v>
                </c:pt>
                <c:pt idx="6" formatCode="General">
                  <c:v>84</c:v>
                </c:pt>
                <c:pt idx="7" formatCode="General">
                  <c:v>168</c:v>
                </c:pt>
                <c:pt idx="8">
                  <c:v>2773</c:v>
                </c:pt>
                <c:pt idx="9">
                  <c:v>2804</c:v>
                </c:pt>
                <c:pt idx="10">
                  <c:v>2000</c:v>
                </c:pt>
                <c:pt idx="11">
                  <c:v>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B2-2946-94A7-5422E19C5B82}"/>
            </c:ext>
          </c:extLst>
        </c:ser>
        <c:ser>
          <c:idx val="8"/>
          <c:order val="8"/>
          <c:tx>
            <c:strRef>
              <c:f>'Raw Data'!$J$1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Data'!$J$2:$J$13</c:f>
              <c:numCache>
                <c:formatCode>#,##0</c:formatCode>
                <c:ptCount val="12"/>
                <c:pt idx="0">
                  <c:v>1520</c:v>
                </c:pt>
                <c:pt idx="1">
                  <c:v>1340</c:v>
                </c:pt>
                <c:pt idx="2" formatCode="General">
                  <c:v>1014</c:v>
                </c:pt>
                <c:pt idx="3" formatCode="General">
                  <c:v>515</c:v>
                </c:pt>
                <c:pt idx="4" formatCode="General">
                  <c:v>187</c:v>
                </c:pt>
                <c:pt idx="5" formatCode="General">
                  <c:v>90</c:v>
                </c:pt>
                <c:pt idx="6" formatCode="General">
                  <c:v>78</c:v>
                </c:pt>
                <c:pt idx="7" formatCode="General">
                  <c:v>169</c:v>
                </c:pt>
                <c:pt idx="8">
                  <c:v>3058</c:v>
                </c:pt>
                <c:pt idx="9">
                  <c:v>3302</c:v>
                </c:pt>
                <c:pt idx="10">
                  <c:v>2279</c:v>
                </c:pt>
                <c:pt idx="11">
                  <c:v>3267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B2-2946-94A7-5422E19C5B82}"/>
            </c:ext>
          </c:extLst>
        </c:ser>
        <c:ser>
          <c:idx val="9"/>
          <c:order val="9"/>
          <c:tx>
            <c:strRef>
              <c:f>'Raw Data'!$K$1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Data'!$K$2:$K$13</c:f>
              <c:numCache>
                <c:formatCode>#,##0</c:formatCode>
                <c:ptCount val="12"/>
                <c:pt idx="0">
                  <c:v>1772</c:v>
                </c:pt>
                <c:pt idx="1">
                  <c:v>1320</c:v>
                </c:pt>
                <c:pt idx="2">
                  <c:v>998</c:v>
                </c:pt>
                <c:pt idx="3" formatCode="General">
                  <c:v>501</c:v>
                </c:pt>
                <c:pt idx="4" formatCode="General">
                  <c:v>175</c:v>
                </c:pt>
                <c:pt idx="5" formatCode="General">
                  <c:v>90</c:v>
                </c:pt>
                <c:pt idx="6" formatCode="General">
                  <c:v>84</c:v>
                </c:pt>
                <c:pt idx="7" formatCode="General">
                  <c:v>182</c:v>
                </c:pt>
                <c:pt idx="8">
                  <c:v>3076</c:v>
                </c:pt>
                <c:pt idx="9">
                  <c:v>2801</c:v>
                </c:pt>
                <c:pt idx="10">
                  <c:v>2576</c:v>
                </c:pt>
                <c:pt idx="11">
                  <c:v>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B2-2946-94A7-5422E19C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687328"/>
        <c:axId val="2142170415"/>
      </c:lineChart>
      <c:catAx>
        <c:axId val="386687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70415"/>
        <c:crosses val="autoZero"/>
        <c:auto val="1"/>
        <c:lblAlgn val="ctr"/>
        <c:lblOffset val="100"/>
        <c:noMultiLvlLbl val="0"/>
      </c:catAx>
      <c:valAx>
        <c:axId val="21421704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 Year Holtz-Winter</a:t>
            </a:r>
          </a:p>
          <a:p>
            <a:pPr>
              <a:defRPr/>
            </a:pPr>
            <a:r>
              <a:rPr lang="en-US"/>
              <a:t>   Forcast Model Vs Actual 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Sales</c:v>
          </c:tx>
          <c:spPr>
            <a:ln w="22225" cap="rnd">
              <a:solidFill>
                <a:srgbClr val="FF27D4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Model!$C$14:$C$125</c:f>
              <c:strCache>
                <c:ptCount val="112"/>
                <c:pt idx="0">
                  <c:v>17-Jan</c:v>
                </c:pt>
                <c:pt idx="1">
                  <c:v>17-Feb</c:v>
                </c:pt>
                <c:pt idx="2">
                  <c:v>17-Mar</c:v>
                </c:pt>
                <c:pt idx="3">
                  <c:v>17-Apr</c:v>
                </c:pt>
                <c:pt idx="4">
                  <c:v>17-May</c:v>
                </c:pt>
                <c:pt idx="5">
                  <c:v>17-Jun</c:v>
                </c:pt>
                <c:pt idx="6">
                  <c:v>17-Jul</c:v>
                </c:pt>
                <c:pt idx="7">
                  <c:v>17-Aug</c:v>
                </c:pt>
                <c:pt idx="8">
                  <c:v>17-Sep</c:v>
                </c:pt>
                <c:pt idx="9">
                  <c:v>17-Oct</c:v>
                </c:pt>
                <c:pt idx="10">
                  <c:v>17-Nov</c:v>
                </c:pt>
                <c:pt idx="11">
                  <c:v>17-Dec</c:v>
                </c:pt>
                <c:pt idx="12">
                  <c:v>18-Jan</c:v>
                </c:pt>
                <c:pt idx="13">
                  <c:v>18-Feb</c:v>
                </c:pt>
                <c:pt idx="14">
                  <c:v>18-Mar</c:v>
                </c:pt>
                <c:pt idx="15">
                  <c:v>18-Apr</c:v>
                </c:pt>
                <c:pt idx="16">
                  <c:v>18-May</c:v>
                </c:pt>
                <c:pt idx="17">
                  <c:v>18-Jun</c:v>
                </c:pt>
                <c:pt idx="18">
                  <c:v>18-Jul</c:v>
                </c:pt>
                <c:pt idx="19">
                  <c:v>18-Aug</c:v>
                </c:pt>
                <c:pt idx="20">
                  <c:v>18-Sep</c:v>
                </c:pt>
                <c:pt idx="21">
                  <c:v>18-Oct</c:v>
                </c:pt>
                <c:pt idx="22">
                  <c:v>18-Nov</c:v>
                </c:pt>
                <c:pt idx="23">
                  <c:v>18-Dec</c:v>
                </c:pt>
                <c:pt idx="24">
                  <c:v>19-Jan</c:v>
                </c:pt>
                <c:pt idx="25">
                  <c:v>19-Feb</c:v>
                </c:pt>
                <c:pt idx="26">
                  <c:v>19-Mar</c:v>
                </c:pt>
                <c:pt idx="27">
                  <c:v>19-Apr</c:v>
                </c:pt>
                <c:pt idx="28">
                  <c:v>19-May</c:v>
                </c:pt>
                <c:pt idx="29">
                  <c:v>19-Jun</c:v>
                </c:pt>
                <c:pt idx="30">
                  <c:v>19-Jul</c:v>
                </c:pt>
                <c:pt idx="31">
                  <c:v>19-Aug</c:v>
                </c:pt>
                <c:pt idx="32">
                  <c:v>19-Sep</c:v>
                </c:pt>
                <c:pt idx="33">
                  <c:v>19-Oct</c:v>
                </c:pt>
                <c:pt idx="34">
                  <c:v>19-Nov</c:v>
                </c:pt>
                <c:pt idx="35">
                  <c:v>19-Dec</c:v>
                </c:pt>
                <c:pt idx="36">
                  <c:v>20-Jan</c:v>
                </c:pt>
                <c:pt idx="37">
                  <c:v>20-Feb</c:v>
                </c:pt>
                <c:pt idx="38">
                  <c:v>20-Mar</c:v>
                </c:pt>
                <c:pt idx="39">
                  <c:v>20-Apr</c:v>
                </c:pt>
                <c:pt idx="40">
                  <c:v>20-May</c:v>
                </c:pt>
                <c:pt idx="41">
                  <c:v>20-Jun</c:v>
                </c:pt>
                <c:pt idx="42">
                  <c:v>20-Jul</c:v>
                </c:pt>
                <c:pt idx="43">
                  <c:v>20-Aug</c:v>
                </c:pt>
                <c:pt idx="44">
                  <c:v>20-Sep</c:v>
                </c:pt>
                <c:pt idx="45">
                  <c:v>20-Oct</c:v>
                </c:pt>
                <c:pt idx="46">
                  <c:v>20-Nov</c:v>
                </c:pt>
                <c:pt idx="47">
                  <c:v>20-Dec</c:v>
                </c:pt>
                <c:pt idx="48">
                  <c:v>21-Jan</c:v>
                </c:pt>
                <c:pt idx="49">
                  <c:v>21-Feb</c:v>
                </c:pt>
                <c:pt idx="50">
                  <c:v>21-Mar</c:v>
                </c:pt>
                <c:pt idx="51">
                  <c:v>21-Apr</c:v>
                </c:pt>
                <c:pt idx="52">
                  <c:v>21-May</c:v>
                </c:pt>
                <c:pt idx="53">
                  <c:v>21-Jun</c:v>
                </c:pt>
                <c:pt idx="54">
                  <c:v>21-Jul</c:v>
                </c:pt>
                <c:pt idx="55">
                  <c:v>21-Aug</c:v>
                </c:pt>
                <c:pt idx="56">
                  <c:v>21-Sep</c:v>
                </c:pt>
                <c:pt idx="57">
                  <c:v>21-Oct</c:v>
                </c:pt>
                <c:pt idx="58">
                  <c:v>21-Nov</c:v>
                </c:pt>
                <c:pt idx="59">
                  <c:v>21-Dec</c:v>
                </c:pt>
                <c:pt idx="60">
                  <c:v>22-Jan</c:v>
                </c:pt>
                <c:pt idx="61">
                  <c:v>22-Feb</c:v>
                </c:pt>
                <c:pt idx="62">
                  <c:v>22-Mar</c:v>
                </c:pt>
                <c:pt idx="63">
                  <c:v>22-Apr</c:v>
                </c:pt>
                <c:pt idx="64">
                  <c:v>22-May</c:v>
                </c:pt>
                <c:pt idx="65">
                  <c:v>22-Jun</c:v>
                </c:pt>
                <c:pt idx="66">
                  <c:v>22-Jul</c:v>
                </c:pt>
                <c:pt idx="67">
                  <c:v>22-Aug</c:v>
                </c:pt>
                <c:pt idx="68">
                  <c:v>22-Sep</c:v>
                </c:pt>
                <c:pt idx="69">
                  <c:v>22-Oct</c:v>
                </c:pt>
                <c:pt idx="70">
                  <c:v>22-Nov</c:v>
                </c:pt>
                <c:pt idx="71">
                  <c:v>22-Dec</c:v>
                </c:pt>
                <c:pt idx="72">
                  <c:v>23-Jan</c:v>
                </c:pt>
                <c:pt idx="73">
                  <c:v>23-Feb</c:v>
                </c:pt>
                <c:pt idx="74">
                  <c:v>23-Mar</c:v>
                </c:pt>
                <c:pt idx="75">
                  <c:v>23-Apr</c:v>
                </c:pt>
                <c:pt idx="76">
                  <c:v>23-May</c:v>
                </c:pt>
                <c:pt idx="77">
                  <c:v>23-Jun</c:v>
                </c:pt>
                <c:pt idx="78">
                  <c:v>23-Jul</c:v>
                </c:pt>
                <c:pt idx="79">
                  <c:v>23-Aug</c:v>
                </c:pt>
                <c:pt idx="80">
                  <c:v>23-Sep</c:v>
                </c:pt>
                <c:pt idx="81">
                  <c:v>23-Oct</c:v>
                </c:pt>
                <c:pt idx="82">
                  <c:v>23-Nov</c:v>
                </c:pt>
                <c:pt idx="83">
                  <c:v>23-Dec</c:v>
                </c:pt>
                <c:pt idx="84">
                  <c:v>24-Jan</c:v>
                </c:pt>
                <c:pt idx="85">
                  <c:v>24-Feb</c:v>
                </c:pt>
                <c:pt idx="86">
                  <c:v>24-Mar</c:v>
                </c:pt>
                <c:pt idx="87">
                  <c:v>24-Apr</c:v>
                </c:pt>
                <c:pt idx="88">
                  <c:v>24-May</c:v>
                </c:pt>
                <c:pt idx="89">
                  <c:v>24-Jun</c:v>
                </c:pt>
                <c:pt idx="90">
                  <c:v>24-Jul</c:v>
                </c:pt>
                <c:pt idx="91">
                  <c:v>24-Aug</c:v>
                </c:pt>
                <c:pt idx="92">
                  <c:v>24-Sep</c:v>
                </c:pt>
                <c:pt idx="93">
                  <c:v>24-Oct</c:v>
                </c:pt>
                <c:pt idx="94">
                  <c:v>24-Nov</c:v>
                </c:pt>
                <c:pt idx="95">
                  <c:v>24-Dec</c:v>
                </c:pt>
                <c:pt idx="96">
                  <c:v>25-Jan</c:v>
                </c:pt>
                <c:pt idx="97">
                  <c:v>25-Feb</c:v>
                </c:pt>
                <c:pt idx="98">
                  <c:v>25-Mar</c:v>
                </c:pt>
                <c:pt idx="99">
                  <c:v>25-Apr</c:v>
                </c:pt>
                <c:pt idx="100">
                  <c:v>25-May</c:v>
                </c:pt>
                <c:pt idx="101">
                  <c:v>25-Jun</c:v>
                </c:pt>
                <c:pt idx="102">
                  <c:v>25-Jul</c:v>
                </c:pt>
                <c:pt idx="103">
                  <c:v>25-Aug</c:v>
                </c:pt>
                <c:pt idx="104">
                  <c:v>25-Sep</c:v>
                </c:pt>
                <c:pt idx="105">
                  <c:v>25-Oct</c:v>
                </c:pt>
                <c:pt idx="106">
                  <c:v>25-Nov</c:v>
                </c:pt>
                <c:pt idx="107">
                  <c:v>25-Dec</c:v>
                </c:pt>
                <c:pt idx="108">
                  <c:v>26-Jan</c:v>
                </c:pt>
                <c:pt idx="109">
                  <c:v>26-Feb</c:v>
                </c:pt>
                <c:pt idx="110">
                  <c:v>26-Mar</c:v>
                </c:pt>
                <c:pt idx="111">
                  <c:v>26-Apr</c:v>
                </c:pt>
              </c:strCache>
            </c:strRef>
          </c:cat>
          <c:val>
            <c:numRef>
              <c:f>Model!$D$14:$D$125</c:f>
              <c:numCache>
                <c:formatCode>#,##0</c:formatCode>
                <c:ptCount val="112"/>
                <c:pt idx="0">
                  <c:v>1176</c:v>
                </c:pt>
                <c:pt idx="1">
                  <c:v>1066</c:v>
                </c:pt>
                <c:pt idx="2" formatCode="General">
                  <c:v>830</c:v>
                </c:pt>
                <c:pt idx="3" formatCode="General">
                  <c:v>426</c:v>
                </c:pt>
                <c:pt idx="4" formatCode="General">
                  <c:v>136</c:v>
                </c:pt>
                <c:pt idx="5" formatCode="General">
                  <c:v>59</c:v>
                </c:pt>
                <c:pt idx="6" formatCode="General">
                  <c:v>69</c:v>
                </c:pt>
                <c:pt idx="7" formatCode="General">
                  <c:v>136</c:v>
                </c:pt>
                <c:pt idx="8">
                  <c:v>2504</c:v>
                </c:pt>
                <c:pt idx="9">
                  <c:v>2402</c:v>
                </c:pt>
                <c:pt idx="10">
                  <c:v>2392</c:v>
                </c:pt>
                <c:pt idx="11">
                  <c:v>2863</c:v>
                </c:pt>
                <c:pt idx="12">
                  <c:v>1503</c:v>
                </c:pt>
                <c:pt idx="13">
                  <c:v>1024</c:v>
                </c:pt>
                <c:pt idx="14" formatCode="General">
                  <c:v>753</c:v>
                </c:pt>
                <c:pt idx="15" formatCode="General">
                  <c:v>391</c:v>
                </c:pt>
                <c:pt idx="16" formatCode="General">
                  <c:v>128</c:v>
                </c:pt>
                <c:pt idx="17" formatCode="General">
                  <c:v>66</c:v>
                </c:pt>
                <c:pt idx="18" formatCode="General">
                  <c:v>70</c:v>
                </c:pt>
                <c:pt idx="19" formatCode="General">
                  <c:v>116</c:v>
                </c:pt>
                <c:pt idx="20">
                  <c:v>1968</c:v>
                </c:pt>
                <c:pt idx="21">
                  <c:v>2379</c:v>
                </c:pt>
                <c:pt idx="22">
                  <c:v>2045</c:v>
                </c:pt>
                <c:pt idx="23">
                  <c:v>2642</c:v>
                </c:pt>
                <c:pt idx="24">
                  <c:v>998</c:v>
                </c:pt>
                <c:pt idx="25" formatCode="General">
                  <c:v>1007</c:v>
                </c:pt>
                <c:pt idx="26" formatCode="General">
                  <c:v>755</c:v>
                </c:pt>
                <c:pt idx="27" formatCode="General">
                  <c:v>278</c:v>
                </c:pt>
                <c:pt idx="28" formatCode="General">
                  <c:v>118</c:v>
                </c:pt>
                <c:pt idx="29" formatCode="General">
                  <c:v>67</c:v>
                </c:pt>
                <c:pt idx="30" formatCode="General">
                  <c:v>49</c:v>
                </c:pt>
                <c:pt idx="31" formatCode="General">
                  <c:v>121</c:v>
                </c:pt>
                <c:pt idx="32">
                  <c:v>2055</c:v>
                </c:pt>
                <c:pt idx="33">
                  <c:v>1864</c:v>
                </c:pt>
                <c:pt idx="34">
                  <c:v>1575</c:v>
                </c:pt>
                <c:pt idx="35">
                  <c:v>2167</c:v>
                </c:pt>
                <c:pt idx="36">
                  <c:v>1569</c:v>
                </c:pt>
                <c:pt idx="37">
                  <c:v>1172</c:v>
                </c:pt>
                <c:pt idx="38" formatCode="General">
                  <c:v>834</c:v>
                </c:pt>
                <c:pt idx="39" formatCode="General">
                  <c:v>444</c:v>
                </c:pt>
                <c:pt idx="40" formatCode="General">
                  <c:v>158</c:v>
                </c:pt>
                <c:pt idx="41" formatCode="General">
                  <c:v>69</c:v>
                </c:pt>
                <c:pt idx="42" formatCode="General">
                  <c:v>85</c:v>
                </c:pt>
                <c:pt idx="43" formatCode="General">
                  <c:v>173</c:v>
                </c:pt>
                <c:pt idx="44">
                  <c:v>2795</c:v>
                </c:pt>
                <c:pt idx="45">
                  <c:v>2593</c:v>
                </c:pt>
                <c:pt idx="46">
                  <c:v>2170</c:v>
                </c:pt>
                <c:pt idx="47">
                  <c:v>2941</c:v>
                </c:pt>
                <c:pt idx="48">
                  <c:v>1563</c:v>
                </c:pt>
                <c:pt idx="49">
                  <c:v>1334</c:v>
                </c:pt>
                <c:pt idx="50" formatCode="General">
                  <c:v>842</c:v>
                </c:pt>
                <c:pt idx="51" formatCode="General">
                  <c:v>468</c:v>
                </c:pt>
                <c:pt idx="52" formatCode="General">
                  <c:v>150</c:v>
                </c:pt>
                <c:pt idx="53" formatCode="General">
                  <c:v>74</c:v>
                </c:pt>
                <c:pt idx="54" formatCode="General">
                  <c:v>75</c:v>
                </c:pt>
                <c:pt idx="55" formatCode="General">
                  <c:v>150</c:v>
                </c:pt>
                <c:pt idx="56">
                  <c:v>3213</c:v>
                </c:pt>
                <c:pt idx="57">
                  <c:v>2675</c:v>
                </c:pt>
                <c:pt idx="58">
                  <c:v>2150</c:v>
                </c:pt>
                <c:pt idx="59">
                  <c:v>2776</c:v>
                </c:pt>
                <c:pt idx="60">
                  <c:v>1364</c:v>
                </c:pt>
                <c:pt idx="61">
                  <c:v>1280</c:v>
                </c:pt>
                <c:pt idx="62" formatCode="General">
                  <c:v>719</c:v>
                </c:pt>
                <c:pt idx="63" formatCode="General">
                  <c:v>498</c:v>
                </c:pt>
                <c:pt idx="64" formatCode="General">
                  <c:v>160</c:v>
                </c:pt>
                <c:pt idx="65" formatCode="General">
                  <c:v>88</c:v>
                </c:pt>
                <c:pt idx="66" formatCode="General">
                  <c:v>77</c:v>
                </c:pt>
                <c:pt idx="67" formatCode="General">
                  <c:v>158</c:v>
                </c:pt>
                <c:pt idx="68">
                  <c:v>2637</c:v>
                </c:pt>
                <c:pt idx="69">
                  <c:v>2294</c:v>
                </c:pt>
                <c:pt idx="70">
                  <c:v>2242</c:v>
                </c:pt>
                <c:pt idx="71">
                  <c:v>2615</c:v>
                </c:pt>
                <c:pt idx="72">
                  <c:v>1572</c:v>
                </c:pt>
                <c:pt idx="73">
                  <c:v>1261</c:v>
                </c:pt>
                <c:pt idx="74" formatCode="General">
                  <c:v>985</c:v>
                </c:pt>
                <c:pt idx="75" formatCode="General">
                  <c:v>481</c:v>
                </c:pt>
                <c:pt idx="76" formatCode="General">
                  <c:v>158</c:v>
                </c:pt>
                <c:pt idx="77" formatCode="General">
                  <c:v>82</c:v>
                </c:pt>
                <c:pt idx="78" formatCode="General">
                  <c:v>84</c:v>
                </c:pt>
                <c:pt idx="79" formatCode="General">
                  <c:v>168</c:v>
                </c:pt>
                <c:pt idx="80">
                  <c:v>2773</c:v>
                </c:pt>
                <c:pt idx="81">
                  <c:v>2804</c:v>
                </c:pt>
                <c:pt idx="82">
                  <c:v>2000</c:v>
                </c:pt>
                <c:pt idx="83">
                  <c:v>3650</c:v>
                </c:pt>
                <c:pt idx="84">
                  <c:v>1520</c:v>
                </c:pt>
                <c:pt idx="85">
                  <c:v>1340</c:v>
                </c:pt>
                <c:pt idx="86" formatCode="General">
                  <c:v>1014</c:v>
                </c:pt>
                <c:pt idx="87" formatCode="General">
                  <c:v>515</c:v>
                </c:pt>
                <c:pt idx="88" formatCode="General">
                  <c:v>187</c:v>
                </c:pt>
                <c:pt idx="89" formatCode="General">
                  <c:v>90</c:v>
                </c:pt>
                <c:pt idx="90" formatCode="General">
                  <c:v>78</c:v>
                </c:pt>
                <c:pt idx="91" formatCode="General">
                  <c:v>169</c:v>
                </c:pt>
                <c:pt idx="92">
                  <c:v>3058</c:v>
                </c:pt>
                <c:pt idx="93">
                  <c:v>3302</c:v>
                </c:pt>
                <c:pt idx="94">
                  <c:v>2279</c:v>
                </c:pt>
                <c:pt idx="95">
                  <c:v>3267</c:v>
                </c:pt>
                <c:pt idx="96">
                  <c:v>1772</c:v>
                </c:pt>
                <c:pt idx="97">
                  <c:v>1320</c:v>
                </c:pt>
                <c:pt idx="98">
                  <c:v>998</c:v>
                </c:pt>
                <c:pt idx="99" formatCode="General">
                  <c:v>501</c:v>
                </c:pt>
                <c:pt idx="100" formatCode="General">
                  <c:v>175</c:v>
                </c:pt>
                <c:pt idx="101" formatCode="General">
                  <c:v>90</c:v>
                </c:pt>
                <c:pt idx="102" formatCode="General">
                  <c:v>84</c:v>
                </c:pt>
                <c:pt idx="103" formatCode="General">
                  <c:v>182</c:v>
                </c:pt>
                <c:pt idx="104">
                  <c:v>3076</c:v>
                </c:pt>
                <c:pt idx="105">
                  <c:v>2801</c:v>
                </c:pt>
                <c:pt idx="106">
                  <c:v>2576</c:v>
                </c:pt>
                <c:pt idx="107">
                  <c:v>3708</c:v>
                </c:pt>
                <c:pt idx="108">
                  <c:v>1845</c:v>
                </c:pt>
                <c:pt idx="109">
                  <c:v>1414</c:v>
                </c:pt>
                <c:pt idx="110">
                  <c:v>1049</c:v>
                </c:pt>
                <c:pt idx="111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1-9D4E-9676-56379C1059A9}"/>
            </c:ext>
          </c:extLst>
        </c:ser>
        <c:ser>
          <c:idx val="1"/>
          <c:order val="1"/>
          <c:tx>
            <c:v>Forcast Sales</c:v>
          </c:tx>
          <c:spPr>
            <a:ln w="22225" cap="rnd">
              <a:solidFill>
                <a:srgbClr val="00B0F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Model!$C$14:$C$125</c:f>
              <c:strCache>
                <c:ptCount val="112"/>
                <c:pt idx="0">
                  <c:v>17-Jan</c:v>
                </c:pt>
                <c:pt idx="1">
                  <c:v>17-Feb</c:v>
                </c:pt>
                <c:pt idx="2">
                  <c:v>17-Mar</c:v>
                </c:pt>
                <c:pt idx="3">
                  <c:v>17-Apr</c:v>
                </c:pt>
                <c:pt idx="4">
                  <c:v>17-May</c:v>
                </c:pt>
                <c:pt idx="5">
                  <c:v>17-Jun</c:v>
                </c:pt>
                <c:pt idx="6">
                  <c:v>17-Jul</c:v>
                </c:pt>
                <c:pt idx="7">
                  <c:v>17-Aug</c:v>
                </c:pt>
                <c:pt idx="8">
                  <c:v>17-Sep</c:v>
                </c:pt>
                <c:pt idx="9">
                  <c:v>17-Oct</c:v>
                </c:pt>
                <c:pt idx="10">
                  <c:v>17-Nov</c:v>
                </c:pt>
                <c:pt idx="11">
                  <c:v>17-Dec</c:v>
                </c:pt>
                <c:pt idx="12">
                  <c:v>18-Jan</c:v>
                </c:pt>
                <c:pt idx="13">
                  <c:v>18-Feb</c:v>
                </c:pt>
                <c:pt idx="14">
                  <c:v>18-Mar</c:v>
                </c:pt>
                <c:pt idx="15">
                  <c:v>18-Apr</c:v>
                </c:pt>
                <c:pt idx="16">
                  <c:v>18-May</c:v>
                </c:pt>
                <c:pt idx="17">
                  <c:v>18-Jun</c:v>
                </c:pt>
                <c:pt idx="18">
                  <c:v>18-Jul</c:v>
                </c:pt>
                <c:pt idx="19">
                  <c:v>18-Aug</c:v>
                </c:pt>
                <c:pt idx="20">
                  <c:v>18-Sep</c:v>
                </c:pt>
                <c:pt idx="21">
                  <c:v>18-Oct</c:v>
                </c:pt>
                <c:pt idx="22">
                  <c:v>18-Nov</c:v>
                </c:pt>
                <c:pt idx="23">
                  <c:v>18-Dec</c:v>
                </c:pt>
                <c:pt idx="24">
                  <c:v>19-Jan</c:v>
                </c:pt>
                <c:pt idx="25">
                  <c:v>19-Feb</c:v>
                </c:pt>
                <c:pt idx="26">
                  <c:v>19-Mar</c:v>
                </c:pt>
                <c:pt idx="27">
                  <c:v>19-Apr</c:v>
                </c:pt>
                <c:pt idx="28">
                  <c:v>19-May</c:v>
                </c:pt>
                <c:pt idx="29">
                  <c:v>19-Jun</c:v>
                </c:pt>
                <c:pt idx="30">
                  <c:v>19-Jul</c:v>
                </c:pt>
                <c:pt idx="31">
                  <c:v>19-Aug</c:v>
                </c:pt>
                <c:pt idx="32">
                  <c:v>19-Sep</c:v>
                </c:pt>
                <c:pt idx="33">
                  <c:v>19-Oct</c:v>
                </c:pt>
                <c:pt idx="34">
                  <c:v>19-Nov</c:v>
                </c:pt>
                <c:pt idx="35">
                  <c:v>19-Dec</c:v>
                </c:pt>
                <c:pt idx="36">
                  <c:v>20-Jan</c:v>
                </c:pt>
                <c:pt idx="37">
                  <c:v>20-Feb</c:v>
                </c:pt>
                <c:pt idx="38">
                  <c:v>20-Mar</c:v>
                </c:pt>
                <c:pt idx="39">
                  <c:v>20-Apr</c:v>
                </c:pt>
                <c:pt idx="40">
                  <c:v>20-May</c:v>
                </c:pt>
                <c:pt idx="41">
                  <c:v>20-Jun</c:v>
                </c:pt>
                <c:pt idx="42">
                  <c:v>20-Jul</c:v>
                </c:pt>
                <c:pt idx="43">
                  <c:v>20-Aug</c:v>
                </c:pt>
                <c:pt idx="44">
                  <c:v>20-Sep</c:v>
                </c:pt>
                <c:pt idx="45">
                  <c:v>20-Oct</c:v>
                </c:pt>
                <c:pt idx="46">
                  <c:v>20-Nov</c:v>
                </c:pt>
                <c:pt idx="47">
                  <c:v>20-Dec</c:v>
                </c:pt>
                <c:pt idx="48">
                  <c:v>21-Jan</c:v>
                </c:pt>
                <c:pt idx="49">
                  <c:v>21-Feb</c:v>
                </c:pt>
                <c:pt idx="50">
                  <c:v>21-Mar</c:v>
                </c:pt>
                <c:pt idx="51">
                  <c:v>21-Apr</c:v>
                </c:pt>
                <c:pt idx="52">
                  <c:v>21-May</c:v>
                </c:pt>
                <c:pt idx="53">
                  <c:v>21-Jun</c:v>
                </c:pt>
                <c:pt idx="54">
                  <c:v>21-Jul</c:v>
                </c:pt>
                <c:pt idx="55">
                  <c:v>21-Aug</c:v>
                </c:pt>
                <c:pt idx="56">
                  <c:v>21-Sep</c:v>
                </c:pt>
                <c:pt idx="57">
                  <c:v>21-Oct</c:v>
                </c:pt>
                <c:pt idx="58">
                  <c:v>21-Nov</c:v>
                </c:pt>
                <c:pt idx="59">
                  <c:v>21-Dec</c:v>
                </c:pt>
                <c:pt idx="60">
                  <c:v>22-Jan</c:v>
                </c:pt>
                <c:pt idx="61">
                  <c:v>22-Feb</c:v>
                </c:pt>
                <c:pt idx="62">
                  <c:v>22-Mar</c:v>
                </c:pt>
                <c:pt idx="63">
                  <c:v>22-Apr</c:v>
                </c:pt>
                <c:pt idx="64">
                  <c:v>22-May</c:v>
                </c:pt>
                <c:pt idx="65">
                  <c:v>22-Jun</c:v>
                </c:pt>
                <c:pt idx="66">
                  <c:v>22-Jul</c:v>
                </c:pt>
                <c:pt idx="67">
                  <c:v>22-Aug</c:v>
                </c:pt>
                <c:pt idx="68">
                  <c:v>22-Sep</c:v>
                </c:pt>
                <c:pt idx="69">
                  <c:v>22-Oct</c:v>
                </c:pt>
                <c:pt idx="70">
                  <c:v>22-Nov</c:v>
                </c:pt>
                <c:pt idx="71">
                  <c:v>22-Dec</c:v>
                </c:pt>
                <c:pt idx="72">
                  <c:v>23-Jan</c:v>
                </c:pt>
                <c:pt idx="73">
                  <c:v>23-Feb</c:v>
                </c:pt>
                <c:pt idx="74">
                  <c:v>23-Mar</c:v>
                </c:pt>
                <c:pt idx="75">
                  <c:v>23-Apr</c:v>
                </c:pt>
                <c:pt idx="76">
                  <c:v>23-May</c:v>
                </c:pt>
                <c:pt idx="77">
                  <c:v>23-Jun</c:v>
                </c:pt>
                <c:pt idx="78">
                  <c:v>23-Jul</c:v>
                </c:pt>
                <c:pt idx="79">
                  <c:v>23-Aug</c:v>
                </c:pt>
                <c:pt idx="80">
                  <c:v>23-Sep</c:v>
                </c:pt>
                <c:pt idx="81">
                  <c:v>23-Oct</c:v>
                </c:pt>
                <c:pt idx="82">
                  <c:v>23-Nov</c:v>
                </c:pt>
                <c:pt idx="83">
                  <c:v>23-Dec</c:v>
                </c:pt>
                <c:pt idx="84">
                  <c:v>24-Jan</c:v>
                </c:pt>
                <c:pt idx="85">
                  <c:v>24-Feb</c:v>
                </c:pt>
                <c:pt idx="86">
                  <c:v>24-Mar</c:v>
                </c:pt>
                <c:pt idx="87">
                  <c:v>24-Apr</c:v>
                </c:pt>
                <c:pt idx="88">
                  <c:v>24-May</c:v>
                </c:pt>
                <c:pt idx="89">
                  <c:v>24-Jun</c:v>
                </c:pt>
                <c:pt idx="90">
                  <c:v>24-Jul</c:v>
                </c:pt>
                <c:pt idx="91">
                  <c:v>24-Aug</c:v>
                </c:pt>
                <c:pt idx="92">
                  <c:v>24-Sep</c:v>
                </c:pt>
                <c:pt idx="93">
                  <c:v>24-Oct</c:v>
                </c:pt>
                <c:pt idx="94">
                  <c:v>24-Nov</c:v>
                </c:pt>
                <c:pt idx="95">
                  <c:v>24-Dec</c:v>
                </c:pt>
                <c:pt idx="96">
                  <c:v>25-Jan</c:v>
                </c:pt>
                <c:pt idx="97">
                  <c:v>25-Feb</c:v>
                </c:pt>
                <c:pt idx="98">
                  <c:v>25-Mar</c:v>
                </c:pt>
                <c:pt idx="99">
                  <c:v>25-Apr</c:v>
                </c:pt>
                <c:pt idx="100">
                  <c:v>25-May</c:v>
                </c:pt>
                <c:pt idx="101">
                  <c:v>25-Jun</c:v>
                </c:pt>
                <c:pt idx="102">
                  <c:v>25-Jul</c:v>
                </c:pt>
                <c:pt idx="103">
                  <c:v>25-Aug</c:v>
                </c:pt>
                <c:pt idx="104">
                  <c:v>25-Sep</c:v>
                </c:pt>
                <c:pt idx="105">
                  <c:v>25-Oct</c:v>
                </c:pt>
                <c:pt idx="106">
                  <c:v>25-Nov</c:v>
                </c:pt>
                <c:pt idx="107">
                  <c:v>25-Dec</c:v>
                </c:pt>
                <c:pt idx="108">
                  <c:v>26-Jan</c:v>
                </c:pt>
                <c:pt idx="109">
                  <c:v>26-Feb</c:v>
                </c:pt>
                <c:pt idx="110">
                  <c:v>26-Mar</c:v>
                </c:pt>
                <c:pt idx="111">
                  <c:v>26-Apr</c:v>
                </c:pt>
              </c:strCache>
            </c:strRef>
          </c:cat>
          <c:val>
            <c:numRef>
              <c:f>Model!$H$14:$H$125</c:f>
              <c:numCache>
                <c:formatCode>#,##0</c:formatCode>
                <c:ptCount val="112"/>
                <c:pt idx="0">
                  <c:v>1209.3344357976655</c:v>
                </c:pt>
                <c:pt idx="1">
                  <c:v>980.81985620140313</c:v>
                </c:pt>
                <c:pt idx="2">
                  <c:v>878.68354894673632</c:v>
                </c:pt>
                <c:pt idx="3">
                  <c:v>468.77460934190736</c:v>
                </c:pt>
                <c:pt idx="4">
                  <c:v>156.33829939085427</c:v>
                </c:pt>
                <c:pt idx="5">
                  <c:v>80.165828954982075</c:v>
                </c:pt>
                <c:pt idx="6">
                  <c:v>81.691326542675128</c:v>
                </c:pt>
                <c:pt idx="7">
                  <c:v>136.00016350654158</c:v>
                </c:pt>
                <c:pt idx="8">
                  <c:v>2463.0658054274745</c:v>
                </c:pt>
                <c:pt idx="9">
                  <c:v>2843.6502136088357</c:v>
                </c:pt>
                <c:pt idx="10">
                  <c:v>2336.4292045692637</c:v>
                </c:pt>
                <c:pt idx="11">
                  <c:v>2855.1224559102611</c:v>
                </c:pt>
                <c:pt idx="12">
                  <c:v>1329.5737429421895</c:v>
                </c:pt>
                <c:pt idx="13">
                  <c:v>1122.4677210060408</c:v>
                </c:pt>
                <c:pt idx="14">
                  <c:v>904.68214567656958</c:v>
                </c:pt>
                <c:pt idx="15">
                  <c:v>449.37497491707597</c:v>
                </c:pt>
                <c:pt idx="16">
                  <c:v>142.31888320625089</c:v>
                </c:pt>
                <c:pt idx="17">
                  <c:v>69.169674376981831</c:v>
                </c:pt>
                <c:pt idx="18">
                  <c:v>75.225831121082052</c:v>
                </c:pt>
                <c:pt idx="19">
                  <c:v>129.8017611335307</c:v>
                </c:pt>
                <c:pt idx="20">
                  <c:v>2230.6842597462883</c:v>
                </c:pt>
                <c:pt idx="21">
                  <c:v>2319.9120063575124</c:v>
                </c:pt>
                <c:pt idx="22">
                  <c:v>2033.7969143432936</c:v>
                </c:pt>
                <c:pt idx="23">
                  <c:v>2402.3842711735356</c:v>
                </c:pt>
                <c:pt idx="24">
                  <c:v>1152.7545745251687</c:v>
                </c:pt>
                <c:pt idx="25">
                  <c:v>840.23398402618363</c:v>
                </c:pt>
                <c:pt idx="26">
                  <c:v>706.10580026894638</c:v>
                </c:pt>
                <c:pt idx="27">
                  <c:v>373.95648173768086</c:v>
                </c:pt>
                <c:pt idx="28">
                  <c:v>112.82542839466767</c:v>
                </c:pt>
                <c:pt idx="29">
                  <c:v>57.115754679000503</c:v>
                </c:pt>
                <c:pt idx="30">
                  <c:v>65.374303154658278</c:v>
                </c:pt>
                <c:pt idx="31">
                  <c:v>104.88696670906893</c:v>
                </c:pt>
                <c:pt idx="32">
                  <c:v>1929.029755297797</c:v>
                </c:pt>
                <c:pt idx="33">
                  <c:v>2186.328575344467</c:v>
                </c:pt>
                <c:pt idx="34">
                  <c:v>1813.8982226138087</c:v>
                </c:pt>
                <c:pt idx="35">
                  <c:v>2082.0363237566457</c:v>
                </c:pt>
                <c:pt idx="36">
                  <c:v>928.6111120024691</c:v>
                </c:pt>
                <c:pt idx="37">
                  <c:v>912.07966286119824</c:v>
                </c:pt>
                <c:pt idx="38">
                  <c:v>781.47618556925818</c:v>
                </c:pt>
                <c:pt idx="39">
                  <c:v>393.24123974160642</c:v>
                </c:pt>
                <c:pt idx="40">
                  <c:v>146.11760223516603</c:v>
                </c:pt>
                <c:pt idx="41">
                  <c:v>79.016789645067405</c:v>
                </c:pt>
                <c:pt idx="42">
                  <c:v>77.983648870184567</c:v>
                </c:pt>
                <c:pt idx="43">
                  <c:v>155.32271481516366</c:v>
                </c:pt>
                <c:pt idx="44">
                  <c:v>2870.9742525050565</c:v>
                </c:pt>
                <c:pt idx="45">
                  <c:v>3123.5270293719232</c:v>
                </c:pt>
                <c:pt idx="46">
                  <c:v>2658.3041689519487</c:v>
                </c:pt>
                <c:pt idx="47">
                  <c:v>3201.9697955228858</c:v>
                </c:pt>
                <c:pt idx="48">
                  <c:v>1562.5132002785404</c:v>
                </c:pt>
                <c:pt idx="49">
                  <c:v>1215.4323854992588</c:v>
                </c:pt>
                <c:pt idx="50">
                  <c:v>949.36594492746588</c:v>
                </c:pt>
                <c:pt idx="51">
                  <c:v>454.54527660283225</c:v>
                </c:pt>
                <c:pt idx="52">
                  <c:v>160.84992020225337</c:v>
                </c:pt>
                <c:pt idx="53">
                  <c:v>78.651158435027426</c:v>
                </c:pt>
                <c:pt idx="54">
                  <c:v>81.46772161937885</c:v>
                </c:pt>
                <c:pt idx="55">
                  <c:v>152.36202743358839</c:v>
                </c:pt>
                <c:pt idx="56">
                  <c:v>2584.2771784508345</c:v>
                </c:pt>
                <c:pt idx="57">
                  <c:v>2893.6686158962539</c:v>
                </c:pt>
                <c:pt idx="58">
                  <c:v>2495.4236739991688</c:v>
                </c:pt>
                <c:pt idx="59">
                  <c:v>3084.9592885811776</c:v>
                </c:pt>
                <c:pt idx="60">
                  <c:v>1506.5292912030627</c:v>
                </c:pt>
                <c:pt idx="61">
                  <c:v>1145.7861257097265</c:v>
                </c:pt>
                <c:pt idx="62">
                  <c:v>851.49416125343328</c:v>
                </c:pt>
                <c:pt idx="63">
                  <c:v>408.41211453507947</c:v>
                </c:pt>
                <c:pt idx="64">
                  <c:v>147.9792804581171</c:v>
                </c:pt>
                <c:pt idx="65">
                  <c:v>75.325549529433971</c:v>
                </c:pt>
                <c:pt idx="66">
                  <c:v>83.097543611650082</c:v>
                </c:pt>
                <c:pt idx="67">
                  <c:v>158.47669679075779</c:v>
                </c:pt>
                <c:pt idx="68">
                  <c:v>2842.4885503886026</c:v>
                </c:pt>
                <c:pt idx="69">
                  <c:v>2735.2932441953385</c:v>
                </c:pt>
                <c:pt idx="70">
                  <c:v>2250.3584005691632</c:v>
                </c:pt>
                <c:pt idx="71">
                  <c:v>2904.122336839574</c:v>
                </c:pt>
                <c:pt idx="72">
                  <c:v>1414.3999206081721</c:v>
                </c:pt>
                <c:pt idx="73">
                  <c:v>1192.2521982700202</c:v>
                </c:pt>
                <c:pt idx="74">
                  <c:v>826.12220839696465</c:v>
                </c:pt>
                <c:pt idx="75">
                  <c:v>476.2101815127665</c:v>
                </c:pt>
                <c:pt idx="76">
                  <c:v>160.05102784488324</c:v>
                </c:pt>
                <c:pt idx="77">
                  <c:v>80.871502889477483</c:v>
                </c:pt>
                <c:pt idx="78">
                  <c:v>81.485496398099869</c:v>
                </c:pt>
                <c:pt idx="79">
                  <c:v>162.59259350682868</c:v>
                </c:pt>
                <c:pt idx="80">
                  <c:v>2912.2233949772499</c:v>
                </c:pt>
                <c:pt idx="81">
                  <c:v>2777.6053932134832</c:v>
                </c:pt>
                <c:pt idx="82">
                  <c:v>2505.1916920079921</c:v>
                </c:pt>
                <c:pt idx="83">
                  <c:v>3001.1998479504873</c:v>
                </c:pt>
                <c:pt idx="84">
                  <c:v>1685.461554793352</c:v>
                </c:pt>
                <c:pt idx="85">
                  <c:v>1334.5667446340694</c:v>
                </c:pt>
                <c:pt idx="86">
                  <c:v>937.48627900525616</c:v>
                </c:pt>
                <c:pt idx="87">
                  <c:v>507.41946922248201</c:v>
                </c:pt>
                <c:pt idx="88">
                  <c:v>170.10970022807763</c:v>
                </c:pt>
                <c:pt idx="89">
                  <c:v>89.52086019883825</c:v>
                </c:pt>
                <c:pt idx="90">
                  <c:v>90.63594315348999</c:v>
                </c:pt>
                <c:pt idx="91">
                  <c:v>172.05001656875586</c:v>
                </c:pt>
                <c:pt idx="92">
                  <c:v>2978.7351363289445</c:v>
                </c:pt>
                <c:pt idx="93">
                  <c:v>2931.9220173656072</c:v>
                </c:pt>
                <c:pt idx="94">
                  <c:v>2617.35383400111</c:v>
                </c:pt>
                <c:pt idx="95">
                  <c:v>3499.4107896679043</c:v>
                </c:pt>
                <c:pt idx="96">
                  <c:v>1705.9260196546661</c:v>
                </c:pt>
                <c:pt idx="97">
                  <c:v>1435.0185142695755</c:v>
                </c:pt>
                <c:pt idx="98">
                  <c:v>996.83517941050968</c:v>
                </c:pt>
                <c:pt idx="99">
                  <c:v>518.41431225075962</c:v>
                </c:pt>
                <c:pt idx="100">
                  <c:v>173.07576811156741</c:v>
                </c:pt>
                <c:pt idx="101">
                  <c:v>86.501659814167212</c:v>
                </c:pt>
                <c:pt idx="102">
                  <c:v>85.119868300572165</c:v>
                </c:pt>
                <c:pt idx="103">
                  <c:v>171.25587804832043</c:v>
                </c:pt>
                <c:pt idx="104">
                  <c:v>3056.1047899354635</c:v>
                </c:pt>
                <c:pt idx="105">
                  <c:v>3042.7456183754684</c:v>
                </c:pt>
                <c:pt idx="106">
                  <c:v>2417.2241661398707</c:v>
                </c:pt>
                <c:pt idx="107">
                  <c:v>3455.3682094940787</c:v>
                </c:pt>
                <c:pt idx="108">
                  <c:v>1794.3028832070686</c:v>
                </c:pt>
                <c:pt idx="109">
                  <c:v>1473.1225710859185</c:v>
                </c:pt>
                <c:pt idx="110">
                  <c:v>1056.6309011557664</c:v>
                </c:pt>
                <c:pt idx="111">
                  <c:v>546.42142582271413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1-9D4E-9676-56379C10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594975"/>
        <c:axId val="1306596687"/>
      </c:lineChart>
      <c:catAx>
        <c:axId val="1306594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96687"/>
        <c:crosses val="autoZero"/>
        <c:auto val="1"/>
        <c:lblAlgn val="ctr"/>
        <c:lblOffset val="100"/>
        <c:noMultiLvlLbl val="0"/>
      </c:catAx>
      <c:valAx>
        <c:axId val="13065966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9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Burton Custom X: 12 Month Forcast Unit Sales</a:t>
            </a:r>
          </a:p>
        </c:rich>
      </c:tx>
      <c:layout>
        <c:manualLayout>
          <c:xMode val="edge"/>
          <c:yMode val="edge"/>
          <c:x val="0.30872237383679313"/>
          <c:y val="2.8846153846153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DEA717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Model!$C$126:$C$137</c:f>
              <c:strCache>
                <c:ptCount val="12"/>
                <c:pt idx="0">
                  <c:v>26-May</c:v>
                </c:pt>
                <c:pt idx="1">
                  <c:v>26-Jun</c:v>
                </c:pt>
                <c:pt idx="2">
                  <c:v>26-Jul</c:v>
                </c:pt>
                <c:pt idx="3">
                  <c:v>26-Aug</c:v>
                </c:pt>
                <c:pt idx="4">
                  <c:v>26-Sep</c:v>
                </c:pt>
                <c:pt idx="5">
                  <c:v>26-Oct</c:v>
                </c:pt>
                <c:pt idx="6">
                  <c:v>26-Nov</c:v>
                </c:pt>
                <c:pt idx="7">
                  <c:v>26-Dec</c:v>
                </c:pt>
                <c:pt idx="8">
                  <c:v>27-Jan</c:v>
                </c:pt>
                <c:pt idx="9">
                  <c:v>27-Feb</c:v>
                </c:pt>
                <c:pt idx="10">
                  <c:v>27-Mar</c:v>
                </c:pt>
                <c:pt idx="11">
                  <c:v>27-Apr</c:v>
                </c:pt>
              </c:strCache>
            </c:strRef>
          </c:cat>
          <c:val>
            <c:numRef>
              <c:f>Model!$H$126:$H$137</c:f>
              <c:numCache>
                <c:formatCode>#,##0</c:formatCode>
                <c:ptCount val="12"/>
                <c:pt idx="0">
                  <c:v>184.63660992830316</c:v>
                </c:pt>
                <c:pt idx="1">
                  <c:v>92.820496956302762</c:v>
                </c:pt>
                <c:pt idx="2">
                  <c:v>89.532306930044598</c:v>
                </c:pt>
                <c:pt idx="3">
                  <c:v>183.91318949821525</c:v>
                </c:pt>
                <c:pt idx="4">
                  <c:v>3190.7925941532931</c:v>
                </c:pt>
                <c:pt idx="5">
                  <c:v>3115.6547846441408</c:v>
                </c:pt>
                <c:pt idx="6">
                  <c:v>2612.9778777512183</c:v>
                </c:pt>
                <c:pt idx="7">
                  <c:v>3674.316697362764</c:v>
                </c:pt>
                <c:pt idx="8">
                  <c:v>1849.9496489824567</c:v>
                </c:pt>
                <c:pt idx="9">
                  <c:v>1482.0864533058891</c:v>
                </c:pt>
                <c:pt idx="10">
                  <c:v>1080.6318060457854</c:v>
                </c:pt>
                <c:pt idx="11">
                  <c:v>556.044142709634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4-7040-B6E0-DDFCCACC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841936"/>
        <c:axId val="487843648"/>
      </c:lineChart>
      <c:catAx>
        <c:axId val="487841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43648"/>
        <c:crosses val="autoZero"/>
        <c:auto val="1"/>
        <c:lblAlgn val="ctr"/>
        <c:lblOffset val="100"/>
        <c:noMultiLvlLbl val="0"/>
      </c:catAx>
      <c:valAx>
        <c:axId val="487843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482600</xdr:colOff>
      <xdr:row>26</xdr:row>
      <xdr:rowOff>0</xdr:rowOff>
    </xdr:from>
    <xdr:to>
      <xdr:col>22</xdr:col>
      <xdr:colOff>698500</xdr:colOff>
      <xdr:row>46</xdr:row>
      <xdr:rowOff>165100</xdr:rowOff>
    </xdr:to>
    <xdr:graphicFrame macro="">
      <xdr:nvGraphicFramePr>
        <xdr:cNvPr id="45" name="Chart 7">
          <a:extLst>
            <a:ext uri="{FF2B5EF4-FFF2-40B4-BE49-F238E27FC236}">
              <a16:creationId xmlns:a16="http://schemas.microsoft.com/office/drawing/2014/main" id="{5FCE9206-8945-E4EA-0FE4-C92EF223C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152400</xdr:rowOff>
    </xdr:from>
    <xdr:to>
      <xdr:col>11</xdr:col>
      <xdr:colOff>88900</xdr:colOff>
      <xdr:row>46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F4F1B1-2FE4-A7EE-6CF7-86B9905A5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152400</xdr:colOff>
      <xdr:row>0</xdr:row>
      <xdr:rowOff>76200</xdr:rowOff>
    </xdr:from>
    <xdr:to>
      <xdr:col>22</xdr:col>
      <xdr:colOff>393700</xdr:colOff>
      <xdr:row>25</xdr:row>
      <xdr:rowOff>12700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14E0984-6141-EED5-4976-A01B734A9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704968</xdr:colOff>
      <xdr:row>6</xdr:row>
      <xdr:rowOff>145776</xdr:rowOff>
    </xdr:from>
    <xdr:to>
      <xdr:col>21</xdr:col>
      <xdr:colOff>5070</xdr:colOff>
      <xdr:row>33</xdr:row>
      <xdr:rowOff>118121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B0747C-63D0-A5C3-515B-3AFB6861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8901" y="1387237"/>
          <a:ext cx="7790551" cy="5366277"/>
        </a:xfrm>
        <a:prstGeom prst="rect">
          <a:avLst/>
        </a:prstGeom>
      </xdr:spPr>
    </xdr:pic>
    <xdr:clientData/>
  </xdr:twoCellAnchor>
  <xdr:twoCellAnchor editAs="oneCell">
    <xdr:from>
      <xdr:col>11</xdr:col>
      <xdr:colOff>800803</xdr:colOff>
      <xdr:row>34</xdr:row>
      <xdr:rowOff>162204</xdr:rowOff>
    </xdr:from>
    <xdr:to>
      <xdr:col>20</xdr:col>
      <xdr:colOff>240158</xdr:colOff>
      <xdr:row>53</xdr:row>
      <xdr:rowOff>16998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F2D7FC-8A97-6CB1-0A95-202166EBC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4736" y="6997373"/>
          <a:ext cx="7102164" cy="3650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505389</xdr:colOff>
      <xdr:row>20</xdr:row>
      <xdr:rowOff>63100</xdr:rowOff>
    </xdr:from>
    <xdr:to>
      <xdr:col>23</xdr:col>
      <xdr:colOff>130736</xdr:colOff>
      <xdr:row>38</xdr:row>
      <xdr:rowOff>177426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088B9A-2F62-1790-51A8-59E8904DA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572347</xdr:colOff>
      <xdr:row>113</xdr:row>
      <xdr:rowOff>6774</xdr:rowOff>
    </xdr:from>
    <xdr:to>
      <xdr:col>24</xdr:col>
      <xdr:colOff>308187</xdr:colOff>
      <xdr:row>133</xdr:row>
      <xdr:rowOff>128694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BC3595-AA99-A584-D147-C951B597E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C99A-A0D2-5941-B0EE-844E6BC771B6}">
  <dimension ref="A1:Y138"/>
  <sheetViews>
    <sheetView zoomScale="75" workbookViewId="0">
      <selection activeCell="A20" sqref="A20"/>
    </sheetView>
  </sheetViews>
  <sheetFormatPr baseColWidth="10" defaultRowHeight="16" x14ac:dyDescent="0.2"/>
  <cols>
    <col min="1" max="1" width="14.1640625" customWidth="1"/>
    <col min="2" max="2" width="21.33203125" customWidth="1"/>
    <col min="3" max="3" width="17" bestFit="1" customWidth="1"/>
    <col min="4" max="5" width="16" bestFit="1" customWidth="1"/>
    <col min="6" max="11" width="17" bestFit="1" customWidth="1"/>
  </cols>
  <sheetData>
    <row r="1" spans="1:11" ht="17" thickBot="1" x14ac:dyDescent="0.25">
      <c r="A1" s="28" t="s">
        <v>0</v>
      </c>
      <c r="B1" s="52" t="s">
        <v>23</v>
      </c>
      <c r="C1" s="46" t="s">
        <v>14</v>
      </c>
      <c r="D1" s="46" t="s">
        <v>15</v>
      </c>
      <c r="E1" s="46" t="s">
        <v>16</v>
      </c>
      <c r="F1" s="46" t="s">
        <v>17</v>
      </c>
      <c r="G1" s="46" t="s">
        <v>18</v>
      </c>
      <c r="H1" s="46" t="s">
        <v>19</v>
      </c>
      <c r="I1" s="46" t="s">
        <v>20</v>
      </c>
      <c r="J1" s="46" t="s">
        <v>21</v>
      </c>
      <c r="K1" s="47" t="s">
        <v>22</v>
      </c>
    </row>
    <row r="2" spans="1:11" ht="17" thickTop="1" x14ac:dyDescent="0.2">
      <c r="A2" s="19" t="s">
        <v>1</v>
      </c>
      <c r="B2" s="16">
        <v>1155</v>
      </c>
      <c r="C2" s="15">
        <v>1176</v>
      </c>
      <c r="D2" s="15">
        <v>1503</v>
      </c>
      <c r="E2" s="15">
        <v>998</v>
      </c>
      <c r="F2" s="15">
        <v>1569</v>
      </c>
      <c r="G2" s="15">
        <v>1563</v>
      </c>
      <c r="H2" s="15">
        <v>1364</v>
      </c>
      <c r="I2" s="15">
        <v>1572</v>
      </c>
      <c r="J2" s="15">
        <v>1520</v>
      </c>
      <c r="K2" s="48">
        <v>1772</v>
      </c>
    </row>
    <row r="3" spans="1:11" x14ac:dyDescent="0.2">
      <c r="A3" s="20" t="s">
        <v>2</v>
      </c>
      <c r="B3" s="17">
        <v>904</v>
      </c>
      <c r="C3" s="13">
        <v>1066</v>
      </c>
      <c r="D3" s="13">
        <v>1024</v>
      </c>
      <c r="E3" s="14">
        <v>1007</v>
      </c>
      <c r="F3" s="13">
        <v>1172</v>
      </c>
      <c r="G3" s="13">
        <v>1334</v>
      </c>
      <c r="H3" s="13">
        <v>1280</v>
      </c>
      <c r="I3" s="13">
        <v>1261</v>
      </c>
      <c r="J3" s="13">
        <v>1340</v>
      </c>
      <c r="K3" s="49">
        <v>1320</v>
      </c>
    </row>
    <row r="4" spans="1:11" x14ac:dyDescent="0.2">
      <c r="A4" s="20" t="s">
        <v>3</v>
      </c>
      <c r="B4" s="18">
        <v>757</v>
      </c>
      <c r="C4" s="14">
        <v>830</v>
      </c>
      <c r="D4" s="14">
        <v>753</v>
      </c>
      <c r="E4" s="14">
        <v>755</v>
      </c>
      <c r="F4" s="14">
        <v>834</v>
      </c>
      <c r="G4" s="14">
        <v>842</v>
      </c>
      <c r="H4" s="14">
        <v>719</v>
      </c>
      <c r="I4" s="14">
        <v>985</v>
      </c>
      <c r="J4" s="14">
        <v>1014</v>
      </c>
      <c r="K4" s="49">
        <v>998</v>
      </c>
    </row>
    <row r="5" spans="1:11" x14ac:dyDescent="0.2">
      <c r="A5" s="20" t="s">
        <v>4</v>
      </c>
      <c r="B5" s="18">
        <v>394</v>
      </c>
      <c r="C5" s="14">
        <v>426</v>
      </c>
      <c r="D5" s="14">
        <v>391</v>
      </c>
      <c r="E5" s="14">
        <v>278</v>
      </c>
      <c r="F5" s="14">
        <v>444</v>
      </c>
      <c r="G5" s="14">
        <v>468</v>
      </c>
      <c r="H5" s="14">
        <v>498</v>
      </c>
      <c r="I5" s="14">
        <v>481</v>
      </c>
      <c r="J5" s="14">
        <v>515</v>
      </c>
      <c r="K5" s="50">
        <v>501</v>
      </c>
    </row>
    <row r="6" spans="1:11" x14ac:dyDescent="0.2">
      <c r="A6" s="20" t="s">
        <v>5</v>
      </c>
      <c r="B6" s="18">
        <v>130</v>
      </c>
      <c r="C6" s="14">
        <v>136</v>
      </c>
      <c r="D6" s="14">
        <v>128</v>
      </c>
      <c r="E6" s="14">
        <v>118</v>
      </c>
      <c r="F6" s="14">
        <v>158</v>
      </c>
      <c r="G6" s="14">
        <v>150</v>
      </c>
      <c r="H6" s="14">
        <v>160</v>
      </c>
      <c r="I6" s="14">
        <v>158</v>
      </c>
      <c r="J6" s="14">
        <v>187</v>
      </c>
      <c r="K6" s="50">
        <v>175</v>
      </c>
    </row>
    <row r="7" spans="1:11" x14ac:dyDescent="0.2">
      <c r="A7" s="20" t="s">
        <v>6</v>
      </c>
      <c r="B7" s="18">
        <v>67</v>
      </c>
      <c r="C7" s="14">
        <v>59</v>
      </c>
      <c r="D7" s="14">
        <v>66</v>
      </c>
      <c r="E7" s="14">
        <v>67</v>
      </c>
      <c r="F7" s="14">
        <v>69</v>
      </c>
      <c r="G7" s="14">
        <v>74</v>
      </c>
      <c r="H7" s="14">
        <v>88</v>
      </c>
      <c r="I7" s="14">
        <v>82</v>
      </c>
      <c r="J7" s="14">
        <v>90</v>
      </c>
      <c r="K7" s="50">
        <v>90</v>
      </c>
    </row>
    <row r="8" spans="1:11" x14ac:dyDescent="0.2">
      <c r="A8" s="20" t="s">
        <v>7</v>
      </c>
      <c r="B8" s="18">
        <v>72</v>
      </c>
      <c r="C8" s="14">
        <v>69</v>
      </c>
      <c r="D8" s="14">
        <v>70</v>
      </c>
      <c r="E8" s="14">
        <v>49</v>
      </c>
      <c r="F8" s="14">
        <v>85</v>
      </c>
      <c r="G8" s="14">
        <v>75</v>
      </c>
      <c r="H8" s="14">
        <v>77</v>
      </c>
      <c r="I8" s="14">
        <v>84</v>
      </c>
      <c r="J8" s="14">
        <v>78</v>
      </c>
      <c r="K8" s="50">
        <v>84</v>
      </c>
    </row>
    <row r="9" spans="1:11" x14ac:dyDescent="0.2">
      <c r="A9" s="20" t="s">
        <v>8</v>
      </c>
      <c r="B9" s="18">
        <v>123</v>
      </c>
      <c r="C9" s="14">
        <v>136</v>
      </c>
      <c r="D9" s="14">
        <v>116</v>
      </c>
      <c r="E9" s="14">
        <v>121</v>
      </c>
      <c r="F9" s="14">
        <v>173</v>
      </c>
      <c r="G9" s="14">
        <v>150</v>
      </c>
      <c r="H9" s="14">
        <v>158</v>
      </c>
      <c r="I9" s="14">
        <v>168</v>
      </c>
      <c r="J9" s="14">
        <v>169</v>
      </c>
      <c r="K9" s="50">
        <v>182</v>
      </c>
    </row>
    <row r="10" spans="1:11" x14ac:dyDescent="0.2">
      <c r="A10" s="20" t="s">
        <v>9</v>
      </c>
      <c r="B10" s="17">
        <v>2187</v>
      </c>
      <c r="C10" s="13">
        <v>2504</v>
      </c>
      <c r="D10" s="13">
        <v>1968</v>
      </c>
      <c r="E10" s="13">
        <v>2055</v>
      </c>
      <c r="F10" s="13">
        <v>2795</v>
      </c>
      <c r="G10" s="13">
        <v>3213</v>
      </c>
      <c r="H10" s="13">
        <v>2637</v>
      </c>
      <c r="I10" s="13">
        <v>2773</v>
      </c>
      <c r="J10" s="13">
        <v>3058</v>
      </c>
      <c r="K10" s="49">
        <v>3076</v>
      </c>
    </row>
    <row r="11" spans="1:11" x14ac:dyDescent="0.2">
      <c r="A11" s="20" t="s">
        <v>10</v>
      </c>
      <c r="B11" s="17">
        <v>2467</v>
      </c>
      <c r="C11" s="13">
        <v>2402</v>
      </c>
      <c r="D11" s="13">
        <v>2379</v>
      </c>
      <c r="E11" s="13">
        <v>1864</v>
      </c>
      <c r="F11" s="13">
        <v>2593</v>
      </c>
      <c r="G11" s="13">
        <v>2675</v>
      </c>
      <c r="H11" s="13">
        <v>2294</v>
      </c>
      <c r="I11" s="13">
        <v>2804</v>
      </c>
      <c r="J11" s="13">
        <v>3302</v>
      </c>
      <c r="K11" s="49">
        <v>2801</v>
      </c>
    </row>
    <row r="12" spans="1:11" x14ac:dyDescent="0.2">
      <c r="A12" s="20" t="s">
        <v>11</v>
      </c>
      <c r="B12" s="17">
        <v>2091</v>
      </c>
      <c r="C12" s="13">
        <v>2392</v>
      </c>
      <c r="D12" s="13">
        <v>2045</v>
      </c>
      <c r="E12" s="13">
        <v>1575</v>
      </c>
      <c r="F12" s="13">
        <v>2170</v>
      </c>
      <c r="G12" s="13">
        <v>2150</v>
      </c>
      <c r="H12" s="13">
        <v>2242</v>
      </c>
      <c r="I12" s="13">
        <v>2000</v>
      </c>
      <c r="J12" s="13">
        <v>2279</v>
      </c>
      <c r="K12" s="49">
        <v>2576</v>
      </c>
    </row>
    <row r="13" spans="1:11" ht="17" thickBot="1" x14ac:dyDescent="0.25">
      <c r="A13" s="21" t="s">
        <v>12</v>
      </c>
      <c r="B13" s="22">
        <v>2503</v>
      </c>
      <c r="C13" s="23">
        <v>2863</v>
      </c>
      <c r="D13" s="23">
        <v>2642</v>
      </c>
      <c r="E13" s="23">
        <v>2167</v>
      </c>
      <c r="F13" s="23">
        <v>2941</v>
      </c>
      <c r="G13" s="23">
        <v>2776</v>
      </c>
      <c r="H13" s="23">
        <v>2615</v>
      </c>
      <c r="I13" s="23">
        <v>3650</v>
      </c>
      <c r="J13" s="23">
        <v>3267</v>
      </c>
      <c r="K13" s="51">
        <v>3708</v>
      </c>
    </row>
    <row r="14" spans="1:11" ht="17" thickBot="1" x14ac:dyDescent="0.25">
      <c r="A14" s="24" t="s">
        <v>13</v>
      </c>
      <c r="B14" s="25">
        <f t="shared" ref="B14:K14" si="0">SUM(B2:B13)</f>
        <v>12850</v>
      </c>
      <c r="C14" s="26">
        <f t="shared" si="0"/>
        <v>14059</v>
      </c>
      <c r="D14" s="26">
        <f t="shared" si="0"/>
        <v>13085</v>
      </c>
      <c r="E14" s="26">
        <f t="shared" si="0"/>
        <v>11054</v>
      </c>
      <c r="F14" s="26">
        <f t="shared" si="0"/>
        <v>15003</v>
      </c>
      <c r="G14" s="26">
        <f t="shared" si="0"/>
        <v>15470</v>
      </c>
      <c r="H14" s="26">
        <f t="shared" si="0"/>
        <v>14132</v>
      </c>
      <c r="I14" s="26">
        <f t="shared" si="0"/>
        <v>16018</v>
      </c>
      <c r="J14" s="26">
        <f t="shared" si="0"/>
        <v>16819</v>
      </c>
      <c r="K14" s="27">
        <f t="shared" si="0"/>
        <v>17283</v>
      </c>
    </row>
    <row r="15" spans="1:11" ht="17" thickBot="1" x14ac:dyDescent="0.25">
      <c r="A15" s="24" t="s">
        <v>37</v>
      </c>
      <c r="B15" s="53">
        <f>MIN(B2:B13)</f>
        <v>67</v>
      </c>
      <c r="C15" s="29">
        <f t="shared" ref="C15:K15" si="1">MIN(C2:C13)</f>
        <v>59</v>
      </c>
      <c r="D15" s="29">
        <f t="shared" si="1"/>
        <v>66</v>
      </c>
      <c r="E15" s="29">
        <f t="shared" si="1"/>
        <v>49</v>
      </c>
      <c r="F15" s="29">
        <f>MIN(F2:F13)</f>
        <v>69</v>
      </c>
      <c r="G15" s="29">
        <f t="shared" si="1"/>
        <v>74</v>
      </c>
      <c r="H15" s="29">
        <f t="shared" si="1"/>
        <v>77</v>
      </c>
      <c r="I15" s="29">
        <f t="shared" si="1"/>
        <v>82</v>
      </c>
      <c r="J15" s="29">
        <f t="shared" si="1"/>
        <v>78</v>
      </c>
      <c r="K15" s="30">
        <f t="shared" si="1"/>
        <v>84</v>
      </c>
    </row>
    <row r="16" spans="1:11" ht="17" thickBot="1" x14ac:dyDescent="0.25">
      <c r="A16" s="24" t="s">
        <v>38</v>
      </c>
      <c r="B16" s="53">
        <f>MAX(B2:B13)</f>
        <v>2503</v>
      </c>
      <c r="C16" s="29">
        <f t="shared" ref="C16:K16" si="2">MAX(C2:C13)</f>
        <v>2863</v>
      </c>
      <c r="D16" s="29">
        <f t="shared" si="2"/>
        <v>2642</v>
      </c>
      <c r="E16" s="29">
        <f t="shared" si="2"/>
        <v>2167</v>
      </c>
      <c r="F16" s="29">
        <f>MAX(F2:F13)</f>
        <v>2941</v>
      </c>
      <c r="G16" s="29">
        <f t="shared" si="2"/>
        <v>3213</v>
      </c>
      <c r="H16" s="29">
        <f t="shared" si="2"/>
        <v>2637</v>
      </c>
      <c r="I16" s="29">
        <f t="shared" si="2"/>
        <v>3650</v>
      </c>
      <c r="J16" s="29">
        <f t="shared" si="2"/>
        <v>3302</v>
      </c>
      <c r="K16" s="30">
        <f t="shared" si="2"/>
        <v>3708</v>
      </c>
    </row>
    <row r="18" spans="1:25" x14ac:dyDescent="0.2">
      <c r="A18" s="1" t="s">
        <v>62</v>
      </c>
      <c r="B18" s="62">
        <v>699.95</v>
      </c>
      <c r="C18" s="62">
        <v>729.95</v>
      </c>
      <c r="D18" s="62">
        <v>749.95</v>
      </c>
      <c r="E18" s="62">
        <v>749.95</v>
      </c>
      <c r="F18" s="62">
        <v>779.95</v>
      </c>
      <c r="G18" s="62">
        <v>799.95</v>
      </c>
      <c r="H18" s="62">
        <v>799.95</v>
      </c>
      <c r="I18" s="62">
        <v>829.95</v>
      </c>
      <c r="J18" s="62">
        <v>849.95</v>
      </c>
      <c r="K18" s="62">
        <v>849.95</v>
      </c>
    </row>
    <row r="19" spans="1:25" x14ac:dyDescent="0.2">
      <c r="A19" s="61" t="s">
        <v>49</v>
      </c>
      <c r="B19" s="63">
        <f t="shared" ref="B19:K19" si="3">B14*B18</f>
        <v>8994357.5</v>
      </c>
      <c r="C19" s="63">
        <f t="shared" si="3"/>
        <v>10262367.050000001</v>
      </c>
      <c r="D19" s="63">
        <f t="shared" si="3"/>
        <v>9813095.75</v>
      </c>
      <c r="E19" s="63">
        <f t="shared" si="3"/>
        <v>8289947.3000000007</v>
      </c>
      <c r="F19" s="63">
        <f t="shared" si="3"/>
        <v>11701589.850000001</v>
      </c>
      <c r="G19" s="63">
        <f t="shared" si="3"/>
        <v>12375226.5</v>
      </c>
      <c r="H19" s="63">
        <f t="shared" si="3"/>
        <v>11304893.4</v>
      </c>
      <c r="I19" s="63">
        <f t="shared" si="3"/>
        <v>13294139.100000001</v>
      </c>
      <c r="J19" s="63">
        <f t="shared" si="3"/>
        <v>14295309.050000001</v>
      </c>
      <c r="K19" s="63">
        <f t="shared" si="3"/>
        <v>14689685.850000001</v>
      </c>
    </row>
    <row r="20" spans="1:25" x14ac:dyDescent="0.2">
      <c r="A20" s="3"/>
      <c r="B20" s="3"/>
    </row>
    <row r="21" spans="1:25" x14ac:dyDescent="0.2">
      <c r="A21" s="3"/>
      <c r="B21" s="3"/>
      <c r="X21" s="1" t="s">
        <v>24</v>
      </c>
      <c r="Y21" s="1" t="s">
        <v>63</v>
      </c>
    </row>
    <row r="22" spans="1:25" x14ac:dyDescent="0.2">
      <c r="A22" s="3"/>
      <c r="B22" s="3"/>
      <c r="X22" s="1">
        <v>2016</v>
      </c>
      <c r="Y22" s="62">
        <v>699.95</v>
      </c>
    </row>
    <row r="23" spans="1:25" x14ac:dyDescent="0.2">
      <c r="A23" s="3"/>
      <c r="B23" s="3"/>
      <c r="X23" s="1">
        <v>2017</v>
      </c>
      <c r="Y23" s="62">
        <v>729.95</v>
      </c>
    </row>
    <row r="24" spans="1:25" x14ac:dyDescent="0.2">
      <c r="A24" s="3"/>
      <c r="B24" s="3"/>
      <c r="X24" s="1">
        <v>2018</v>
      </c>
      <c r="Y24" s="62">
        <v>749.95</v>
      </c>
    </row>
    <row r="25" spans="1:25" x14ac:dyDescent="0.2">
      <c r="A25" s="3"/>
      <c r="B25" s="3"/>
      <c r="X25" s="1">
        <v>2019</v>
      </c>
      <c r="Y25" s="62">
        <v>749.95</v>
      </c>
    </row>
    <row r="26" spans="1:25" x14ac:dyDescent="0.2">
      <c r="A26" s="3"/>
      <c r="B26" s="3"/>
      <c r="X26" s="1">
        <v>2020</v>
      </c>
      <c r="Y26" s="62">
        <v>779.95</v>
      </c>
    </row>
    <row r="27" spans="1:25" x14ac:dyDescent="0.2">
      <c r="A27" s="3"/>
      <c r="B27" s="3"/>
      <c r="X27" s="1">
        <v>2021</v>
      </c>
      <c r="Y27" s="62">
        <v>799.95</v>
      </c>
    </row>
    <row r="28" spans="1:25" x14ac:dyDescent="0.2">
      <c r="A28" s="3"/>
      <c r="B28" s="3"/>
      <c r="X28" s="1">
        <v>2022</v>
      </c>
      <c r="Y28" s="62">
        <v>799.95</v>
      </c>
    </row>
    <row r="29" spans="1:25" x14ac:dyDescent="0.2">
      <c r="A29" s="3"/>
      <c r="B29" s="3"/>
      <c r="X29" s="1">
        <v>2023</v>
      </c>
      <c r="Y29" s="62">
        <v>829.95</v>
      </c>
    </row>
    <row r="30" spans="1:25" x14ac:dyDescent="0.2">
      <c r="A30" s="3"/>
      <c r="B30" s="3"/>
      <c r="X30" s="1">
        <v>2024</v>
      </c>
      <c r="Y30" s="62">
        <v>849.95</v>
      </c>
    </row>
    <row r="31" spans="1:25" x14ac:dyDescent="0.2">
      <c r="A31" s="3"/>
      <c r="B31" s="3"/>
      <c r="X31" s="1">
        <v>2025</v>
      </c>
      <c r="Y31" s="62">
        <v>849.95</v>
      </c>
    </row>
    <row r="32" spans="1:25" x14ac:dyDescent="0.2">
      <c r="A32" s="3"/>
      <c r="B32" s="3"/>
    </row>
    <row r="33" spans="1:2" x14ac:dyDescent="0.2">
      <c r="A33" s="3"/>
      <c r="B33" s="3"/>
    </row>
    <row r="34" spans="1:2" x14ac:dyDescent="0.2">
      <c r="A34" s="3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38B6-8A28-D547-B915-1EEFD1FF3C10}">
  <dimension ref="A1:S137"/>
  <sheetViews>
    <sheetView topLeftCell="C1" zoomScale="89" workbookViewId="0">
      <selection activeCell="C126" sqref="C126:C137"/>
    </sheetView>
  </sheetViews>
  <sheetFormatPr baseColWidth="10" defaultRowHeight="16" x14ac:dyDescent="0.2"/>
  <cols>
    <col min="1" max="1" width="0" hidden="1" customWidth="1"/>
    <col min="2" max="2" width="10.33203125" hidden="1" customWidth="1"/>
    <col min="3" max="3" width="23" customWidth="1"/>
    <col min="6" max="6" width="14.5" customWidth="1"/>
    <col min="7" max="7" width="15.1640625" customWidth="1"/>
    <col min="8" max="8" width="18" customWidth="1"/>
    <col min="11" max="11" width="6.83203125" customWidth="1"/>
    <col min="12" max="12" width="13.6640625" customWidth="1"/>
  </cols>
  <sheetData>
    <row r="1" spans="1:19" s="32" customFormat="1" ht="17" thickBot="1" x14ac:dyDescent="0.25">
      <c r="A1" s="31" t="s">
        <v>24</v>
      </c>
      <c r="B1" s="31" t="s">
        <v>0</v>
      </c>
      <c r="C1" s="31" t="s">
        <v>26</v>
      </c>
      <c r="D1" s="31" t="s">
        <v>25</v>
      </c>
      <c r="E1" s="31" t="s">
        <v>30</v>
      </c>
      <c r="F1" s="31" t="s">
        <v>31</v>
      </c>
      <c r="G1" s="31" t="s">
        <v>32</v>
      </c>
      <c r="H1" s="31" t="s">
        <v>41</v>
      </c>
      <c r="I1" s="31" t="s">
        <v>36</v>
      </c>
      <c r="N1" s="33" t="s">
        <v>40</v>
      </c>
      <c r="O1" s="34" t="s">
        <v>33</v>
      </c>
      <c r="P1" s="35" t="s">
        <v>34</v>
      </c>
      <c r="Q1" s="10" t="s">
        <v>27</v>
      </c>
      <c r="R1" s="11" t="s">
        <v>28</v>
      </c>
      <c r="S1" s="12" t="s">
        <v>29</v>
      </c>
    </row>
    <row r="2" spans="1:19" ht="18" thickTop="1" thickBot="1" x14ac:dyDescent="0.25">
      <c r="A2" s="5">
        <v>2016</v>
      </c>
      <c r="B2" s="1" t="s">
        <v>1</v>
      </c>
      <c r="C2" s="1" t="str">
        <f>RIGHT(A2,2)&amp;"-"&amp; B2</f>
        <v>16-Jan</v>
      </c>
      <c r="D2" s="3">
        <v>1155</v>
      </c>
      <c r="E2" t="s">
        <v>35</v>
      </c>
      <c r="F2" t="s">
        <v>35</v>
      </c>
      <c r="G2">
        <f t="shared" ref="G2:G13" si="0">D2/$O$2</f>
        <v>1.0785992217898834</v>
      </c>
      <c r="H2" t="s">
        <v>35</v>
      </c>
      <c r="N2" s="36" t="s">
        <v>39</v>
      </c>
      <c r="O2" s="37">
        <f>AVERAGE(D2:D13)</f>
        <v>1070.8333333333333</v>
      </c>
      <c r="P2" s="9">
        <f>(AVERAGE(D14:D25)-AVERAGE(D2:D13))/2</f>
        <v>50.375</v>
      </c>
      <c r="Q2" s="7">
        <v>0.2</v>
      </c>
      <c r="R2" s="8">
        <v>0.2</v>
      </c>
      <c r="S2" s="9">
        <v>0.3</v>
      </c>
    </row>
    <row r="3" spans="1:19" x14ac:dyDescent="0.2">
      <c r="A3" s="5">
        <v>2016</v>
      </c>
      <c r="B3" s="1" t="s">
        <v>2</v>
      </c>
      <c r="C3" s="1" t="str">
        <f t="shared" ref="C3:C66" si="1">RIGHT(A3,2)&amp;"-"&amp; B3</f>
        <v>16-Feb</v>
      </c>
      <c r="D3" s="3">
        <v>904</v>
      </c>
      <c r="E3" t="s">
        <v>35</v>
      </c>
      <c r="F3" t="s">
        <v>35</v>
      </c>
      <c r="G3">
        <f t="shared" si="0"/>
        <v>0.84420233463035022</v>
      </c>
      <c r="H3" t="s">
        <v>35</v>
      </c>
      <c r="O3" s="6"/>
    </row>
    <row r="4" spans="1:19" x14ac:dyDescent="0.2">
      <c r="A4" s="5">
        <v>2016</v>
      </c>
      <c r="B4" s="1" t="s">
        <v>3</v>
      </c>
      <c r="C4" s="1" t="str">
        <f t="shared" si="1"/>
        <v>16-Mar</v>
      </c>
      <c r="D4" s="4">
        <v>757</v>
      </c>
      <c r="E4" t="s">
        <v>35</v>
      </c>
      <c r="F4" t="s">
        <v>35</v>
      </c>
      <c r="G4">
        <f t="shared" si="0"/>
        <v>0.7069260700389105</v>
      </c>
      <c r="H4" t="s">
        <v>35</v>
      </c>
    </row>
    <row r="5" spans="1:19" x14ac:dyDescent="0.2">
      <c r="A5" s="5">
        <v>2016</v>
      </c>
      <c r="B5" s="1" t="s">
        <v>4</v>
      </c>
      <c r="C5" s="1" t="str">
        <f t="shared" si="1"/>
        <v>16-Apr</v>
      </c>
      <c r="D5" s="4">
        <v>394</v>
      </c>
      <c r="E5" t="s">
        <v>35</v>
      </c>
      <c r="F5" t="s">
        <v>35</v>
      </c>
      <c r="G5">
        <f t="shared" si="0"/>
        <v>0.36793774319066153</v>
      </c>
      <c r="H5" t="s">
        <v>35</v>
      </c>
      <c r="I5" s="5"/>
      <c r="J5" s="5"/>
      <c r="K5" s="5"/>
    </row>
    <row r="6" spans="1:19" x14ac:dyDescent="0.2">
      <c r="A6" s="5">
        <v>2016</v>
      </c>
      <c r="B6" s="1" t="s">
        <v>5</v>
      </c>
      <c r="C6" s="1" t="str">
        <f t="shared" si="1"/>
        <v>16-May</v>
      </c>
      <c r="D6" s="4">
        <v>130</v>
      </c>
      <c r="E6" t="s">
        <v>35</v>
      </c>
      <c r="F6" t="s">
        <v>35</v>
      </c>
      <c r="G6">
        <f t="shared" si="0"/>
        <v>0.12140077821011674</v>
      </c>
      <c r="H6" t="s">
        <v>35</v>
      </c>
    </row>
    <row r="7" spans="1:19" x14ac:dyDescent="0.2">
      <c r="A7" s="5">
        <v>2016</v>
      </c>
      <c r="B7" s="1" t="s">
        <v>6</v>
      </c>
      <c r="C7" s="1" t="str">
        <f t="shared" si="1"/>
        <v>16-Jun</v>
      </c>
      <c r="D7" s="4">
        <v>67</v>
      </c>
      <c r="E7" t="s">
        <v>35</v>
      </c>
      <c r="F7" t="s">
        <v>35</v>
      </c>
      <c r="G7">
        <f t="shared" si="0"/>
        <v>6.2568093385214019E-2</v>
      </c>
      <c r="H7" t="s">
        <v>35</v>
      </c>
    </row>
    <row r="8" spans="1:19" x14ac:dyDescent="0.2">
      <c r="A8" s="5">
        <v>2016</v>
      </c>
      <c r="B8" s="1" t="s">
        <v>7</v>
      </c>
      <c r="C8" s="1" t="str">
        <f t="shared" si="1"/>
        <v>16-Jul</v>
      </c>
      <c r="D8" s="4">
        <v>72</v>
      </c>
      <c r="E8" t="s">
        <v>35</v>
      </c>
      <c r="F8" t="s">
        <v>35</v>
      </c>
      <c r="G8">
        <f t="shared" si="0"/>
        <v>6.7237354085603121E-2</v>
      </c>
      <c r="H8" t="s">
        <v>35</v>
      </c>
    </row>
    <row r="9" spans="1:19" x14ac:dyDescent="0.2">
      <c r="A9" s="5">
        <v>2016</v>
      </c>
      <c r="B9" s="1" t="s">
        <v>8</v>
      </c>
      <c r="C9" s="1" t="str">
        <f t="shared" si="1"/>
        <v>16-Aug</v>
      </c>
      <c r="D9" s="4">
        <v>123</v>
      </c>
      <c r="E9" t="s">
        <v>35</v>
      </c>
      <c r="F9" t="s">
        <v>35</v>
      </c>
      <c r="G9">
        <f t="shared" si="0"/>
        <v>0.114863813229572</v>
      </c>
      <c r="H9" t="s">
        <v>35</v>
      </c>
    </row>
    <row r="10" spans="1:19" x14ac:dyDescent="0.2">
      <c r="A10" s="5">
        <v>2016</v>
      </c>
      <c r="B10" s="1" t="s">
        <v>9</v>
      </c>
      <c r="C10" s="1" t="str">
        <f t="shared" si="1"/>
        <v>16-Sep</v>
      </c>
      <c r="D10" s="3">
        <v>2187</v>
      </c>
      <c r="E10" t="s">
        <v>35</v>
      </c>
      <c r="F10" t="s">
        <v>35</v>
      </c>
      <c r="G10">
        <f t="shared" si="0"/>
        <v>2.0423346303501946</v>
      </c>
      <c r="H10" t="s">
        <v>35</v>
      </c>
    </row>
    <row r="11" spans="1:19" x14ac:dyDescent="0.2">
      <c r="A11" s="5">
        <v>2016</v>
      </c>
      <c r="B11" s="1" t="s">
        <v>10</v>
      </c>
      <c r="C11" s="1" t="str">
        <f t="shared" si="1"/>
        <v>16-Oct</v>
      </c>
      <c r="D11" s="3">
        <v>2467</v>
      </c>
      <c r="E11" t="s">
        <v>35</v>
      </c>
      <c r="F11" t="s">
        <v>35</v>
      </c>
      <c r="G11">
        <f t="shared" si="0"/>
        <v>2.3038132295719844</v>
      </c>
      <c r="H11" t="s">
        <v>35</v>
      </c>
    </row>
    <row r="12" spans="1:19" x14ac:dyDescent="0.2">
      <c r="A12" s="5">
        <v>2016</v>
      </c>
      <c r="B12" s="1" t="s">
        <v>11</v>
      </c>
      <c r="C12" s="1" t="str">
        <f t="shared" si="1"/>
        <v>16-Nov</v>
      </c>
      <c r="D12" s="3">
        <v>2091</v>
      </c>
      <c r="E12" t="s">
        <v>35</v>
      </c>
      <c r="F12" t="s">
        <v>35</v>
      </c>
      <c r="G12">
        <f t="shared" si="0"/>
        <v>1.9526848249027238</v>
      </c>
      <c r="H12" t="s">
        <v>35</v>
      </c>
    </row>
    <row r="13" spans="1:19" x14ac:dyDescent="0.2">
      <c r="A13" s="5">
        <v>2016</v>
      </c>
      <c r="B13" s="1" t="s">
        <v>12</v>
      </c>
      <c r="C13" s="1" t="str">
        <f t="shared" si="1"/>
        <v>16-Dec</v>
      </c>
      <c r="D13" s="3">
        <v>2503</v>
      </c>
      <c r="E13" s="3">
        <f>O2</f>
        <v>1070.8333333333333</v>
      </c>
      <c r="F13" s="4">
        <f>P2</f>
        <v>50.375</v>
      </c>
      <c r="G13">
        <f t="shared" si="0"/>
        <v>2.3374319066147859</v>
      </c>
      <c r="H13" t="s">
        <v>35</v>
      </c>
    </row>
    <row r="14" spans="1:19" x14ac:dyDescent="0.2">
      <c r="A14" s="1">
        <v>2017</v>
      </c>
      <c r="B14" s="1" t="s">
        <v>1</v>
      </c>
      <c r="C14" s="1" t="str">
        <f t="shared" si="1"/>
        <v>17-Jan</v>
      </c>
      <c r="D14" s="3">
        <v>1176</v>
      </c>
      <c r="E14" s="3">
        <f t="shared" ref="E14:E45" si="2">$Q$2*(D14/G2)+(1-$Q$2)*(E13+F13)</f>
        <v>1115.0272727272727</v>
      </c>
      <c r="F14" s="3">
        <f t="shared" ref="F14:F45" si="3">$R$2*(E14-E13)+(1-$R$2)*F13</f>
        <v>49.138787878787895</v>
      </c>
      <c r="G14" s="3">
        <f t="shared" ref="G14:G45" si="4">$S$2*(D14/E14)+(1-$S$2)*G2</f>
        <v>1.0714242720939251</v>
      </c>
      <c r="H14" s="3">
        <f>(E13+1*F13)*G2</f>
        <v>1209.3344357976655</v>
      </c>
      <c r="I14" s="2"/>
    </row>
    <row r="15" spans="1:19" x14ac:dyDescent="0.2">
      <c r="A15" s="1">
        <v>2017</v>
      </c>
      <c r="B15" s="1" t="s">
        <v>2</v>
      </c>
      <c r="C15" s="1" t="str">
        <f t="shared" si="1"/>
        <v>17-Feb</v>
      </c>
      <c r="D15" s="3">
        <v>1066</v>
      </c>
      <c r="E15" s="3">
        <f t="shared" si="2"/>
        <v>1183.8789399302764</v>
      </c>
      <c r="F15" s="3">
        <f t="shared" si="3"/>
        <v>53.081363743631059</v>
      </c>
      <c r="G15" s="3">
        <f t="shared" si="4"/>
        <v>0.86107060538320535</v>
      </c>
      <c r="H15" s="3">
        <f t="shared" ref="H15:H78" si="5">(E14+1*F14)*G3</f>
        <v>982.79170626105417</v>
      </c>
    </row>
    <row r="16" spans="1:19" x14ac:dyDescent="0.2">
      <c r="A16" s="1">
        <v>2017</v>
      </c>
      <c r="B16" s="1" t="s">
        <v>3</v>
      </c>
      <c r="C16" s="1" t="str">
        <f t="shared" si="1"/>
        <v>17-Mar</v>
      </c>
      <c r="D16" s="4">
        <v>830</v>
      </c>
      <c r="E16" s="3">
        <f t="shared" si="2"/>
        <v>1224.3877057308478</v>
      </c>
      <c r="F16" s="3">
        <f t="shared" si="3"/>
        <v>50.566844155019126</v>
      </c>
      <c r="G16" s="3">
        <f t="shared" si="4"/>
        <v>0.69821520447324104</v>
      </c>
      <c r="H16" s="3">
        <f t="shared" si="5"/>
        <v>874.43948627033274</v>
      </c>
    </row>
    <row r="17" spans="1:8" x14ac:dyDescent="0.2">
      <c r="A17" s="1">
        <v>2017</v>
      </c>
      <c r="B17" s="1" t="s">
        <v>4</v>
      </c>
      <c r="C17" s="1" t="str">
        <f t="shared" si="1"/>
        <v>17-Apr</v>
      </c>
      <c r="D17" s="4">
        <v>426</v>
      </c>
      <c r="E17" s="3">
        <f t="shared" si="2"/>
        <v>1251.5245536142775</v>
      </c>
      <c r="F17" s="3">
        <f t="shared" si="3"/>
        <v>45.880844900701241</v>
      </c>
      <c r="G17" s="3">
        <f t="shared" si="4"/>
        <v>0.35967187584392341</v>
      </c>
      <c r="H17" s="3">
        <f t="shared" si="5"/>
        <v>469.10389975567159</v>
      </c>
    </row>
    <row r="18" spans="1:8" x14ac:dyDescent="0.2">
      <c r="A18" s="1">
        <v>2017</v>
      </c>
      <c r="B18" s="1" t="s">
        <v>5</v>
      </c>
      <c r="C18" s="1" t="str">
        <f t="shared" si="1"/>
        <v>17-May</v>
      </c>
      <c r="D18" s="4">
        <v>136</v>
      </c>
      <c r="E18" s="3">
        <f t="shared" si="2"/>
        <v>1261.9756008632651</v>
      </c>
      <c r="F18" s="3">
        <f t="shared" si="3"/>
        <v>38.794885370358514</v>
      </c>
      <c r="G18" s="3">
        <f t="shared" si="4"/>
        <v>0.11731080531003588</v>
      </c>
      <c r="H18" s="3">
        <f t="shared" si="5"/>
        <v>157.50602503372505</v>
      </c>
    </row>
    <row r="19" spans="1:8" x14ac:dyDescent="0.2">
      <c r="A19" s="1">
        <v>2017</v>
      </c>
      <c r="B19" s="1" t="s">
        <v>6</v>
      </c>
      <c r="C19" s="1" t="str">
        <f t="shared" si="1"/>
        <v>17-Jun</v>
      </c>
      <c r="D19" s="4">
        <v>59</v>
      </c>
      <c r="E19" s="3">
        <f t="shared" si="2"/>
        <v>1229.2109163500832</v>
      </c>
      <c r="F19" s="3">
        <f t="shared" si="3"/>
        <v>24.482971393650431</v>
      </c>
      <c r="G19" s="3">
        <f t="shared" si="4"/>
        <v>5.8197146992020124E-2</v>
      </c>
      <c r="H19" s="3">
        <f t="shared" si="5"/>
        <v>81.386729255395608</v>
      </c>
    </row>
    <row r="20" spans="1:8" x14ac:dyDescent="0.2">
      <c r="A20" s="1">
        <v>2017</v>
      </c>
      <c r="B20" s="1" t="s">
        <v>7</v>
      </c>
      <c r="C20" s="1" t="str">
        <f t="shared" si="1"/>
        <v>17-Jul</v>
      </c>
      <c r="D20" s="4">
        <v>69</v>
      </c>
      <c r="E20" s="3">
        <f t="shared" si="2"/>
        <v>1208.1981657505426</v>
      </c>
      <c r="F20" s="3">
        <f t="shared" si="3"/>
        <v>15.383826995012226</v>
      </c>
      <c r="G20" s="3">
        <f t="shared" si="4"/>
        <v>6.4199098883019445E-2</v>
      </c>
      <c r="H20" s="3">
        <f t="shared" si="5"/>
        <v>84.295059845181783</v>
      </c>
    </row>
    <row r="21" spans="1:8" x14ac:dyDescent="0.2">
      <c r="A21" s="1">
        <v>2017</v>
      </c>
      <c r="B21" s="1" t="s">
        <v>8</v>
      </c>
      <c r="C21" s="1" t="str">
        <f t="shared" si="1"/>
        <v>17-Aug</v>
      </c>
      <c r="D21" s="4">
        <v>136</v>
      </c>
      <c r="E21" s="3">
        <f t="shared" si="2"/>
        <v>1215.6677622181242</v>
      </c>
      <c r="F21" s="3">
        <f t="shared" si="3"/>
        <v>13.8009808895261</v>
      </c>
      <c r="G21" s="3">
        <f t="shared" si="4"/>
        <v>0.11396647065745352</v>
      </c>
      <c r="H21" s="3">
        <f t="shared" si="5"/>
        <v>140.54529348579291</v>
      </c>
    </row>
    <row r="22" spans="1:8" x14ac:dyDescent="0.2">
      <c r="A22" s="1">
        <v>2017</v>
      </c>
      <c r="B22" s="1" t="s">
        <v>9</v>
      </c>
      <c r="C22" s="1" t="str">
        <f t="shared" si="1"/>
        <v>17-Sep</v>
      </c>
      <c r="D22" s="3">
        <v>2504</v>
      </c>
      <c r="E22" s="3">
        <f t="shared" si="2"/>
        <v>1228.7845661977494</v>
      </c>
      <c r="F22" s="3">
        <f t="shared" si="3"/>
        <v>13.664145507545935</v>
      </c>
      <c r="G22" s="3">
        <f t="shared" si="4"/>
        <v>2.0409700446597672</v>
      </c>
      <c r="H22" s="3">
        <f t="shared" si="5"/>
        <v>2510.9865909818809</v>
      </c>
    </row>
    <row r="23" spans="1:8" x14ac:dyDescent="0.2">
      <c r="A23" s="1">
        <v>2017</v>
      </c>
      <c r="B23" s="1" t="s">
        <v>10</v>
      </c>
      <c r="C23" s="1" t="str">
        <f t="shared" si="1"/>
        <v>17-Oct</v>
      </c>
      <c r="D23" s="3">
        <v>2402</v>
      </c>
      <c r="E23" s="3">
        <f t="shared" si="2"/>
        <v>1202.4828174928678</v>
      </c>
      <c r="F23" s="3">
        <f t="shared" si="3"/>
        <v>5.6709666650604147</v>
      </c>
      <c r="G23" s="3">
        <f t="shared" si="4"/>
        <v>2.211929382772174</v>
      </c>
      <c r="H23" s="3">
        <f t="shared" si="5"/>
        <v>2862.3697790913279</v>
      </c>
    </row>
    <row r="24" spans="1:8" x14ac:dyDescent="0.2">
      <c r="A24" s="1">
        <v>2017</v>
      </c>
      <c r="B24" s="1" t="s">
        <v>11</v>
      </c>
      <c r="C24" s="1" t="str">
        <f t="shared" si="1"/>
        <v>17-Nov</v>
      </c>
      <c r="D24" s="3">
        <v>2392</v>
      </c>
      <c r="E24" s="3">
        <f t="shared" si="2"/>
        <v>1211.5190419923715</v>
      </c>
      <c r="F24" s="3">
        <f t="shared" si="3"/>
        <v>6.3440182319490841</v>
      </c>
      <c r="G24" s="3">
        <f t="shared" si="4"/>
        <v>1.9591936334421876</v>
      </c>
      <c r="H24" s="3">
        <f t="shared" si="5"/>
        <v>2359.1435604739872</v>
      </c>
    </row>
    <row r="25" spans="1:8" x14ac:dyDescent="0.2">
      <c r="A25" s="1">
        <v>2017</v>
      </c>
      <c r="B25" s="1" t="s">
        <v>12</v>
      </c>
      <c r="C25" s="1" t="str">
        <f t="shared" si="1"/>
        <v>17-Dec</v>
      </c>
      <c r="D25" s="3">
        <v>2863</v>
      </c>
      <c r="E25" s="3">
        <f t="shared" si="2"/>
        <v>1219.2601512024955</v>
      </c>
      <c r="F25" s="3">
        <f t="shared" si="3"/>
        <v>6.623436427584072</v>
      </c>
      <c r="G25" s="3">
        <f t="shared" si="4"/>
        <v>2.3406459262239157</v>
      </c>
      <c r="H25" s="3">
        <f t="shared" si="5"/>
        <v>2846.6719748558517</v>
      </c>
    </row>
    <row r="26" spans="1:8" x14ac:dyDescent="0.2">
      <c r="A26" s="1">
        <v>2018</v>
      </c>
      <c r="B26" s="1" t="s">
        <v>1</v>
      </c>
      <c r="C26" s="1" t="str">
        <f t="shared" si="1"/>
        <v>18-Jan</v>
      </c>
      <c r="D26" s="3">
        <v>1503</v>
      </c>
      <c r="E26" s="3">
        <f t="shared" si="2"/>
        <v>1261.2679959151544</v>
      </c>
      <c r="F26" s="3">
        <f t="shared" si="3"/>
        <v>13.700318084599035</v>
      </c>
      <c r="G26" s="3">
        <f t="shared" si="4"/>
        <v>1.1074943672804463</v>
      </c>
      <c r="H26" s="3">
        <f t="shared" si="5"/>
        <v>1313.4414305484474</v>
      </c>
    </row>
    <row r="27" spans="1:8" x14ac:dyDescent="0.2">
      <c r="A27" s="1">
        <v>2018</v>
      </c>
      <c r="B27" s="1" t="s">
        <v>2</v>
      </c>
      <c r="C27" s="1" t="str">
        <f t="shared" si="1"/>
        <v>18-Feb</v>
      </c>
      <c r="D27" s="3">
        <v>1024</v>
      </c>
      <c r="E27" s="3">
        <f t="shared" si="2"/>
        <v>1257.8180971607262</v>
      </c>
      <c r="F27" s="3">
        <f t="shared" si="3"/>
        <v>10.270274716793587</v>
      </c>
      <c r="G27" s="3">
        <f t="shared" si="4"/>
        <v>0.84698187732686459</v>
      </c>
      <c r="H27" s="3">
        <f t="shared" si="5"/>
        <v>1097.8377379801723</v>
      </c>
    </row>
    <row r="28" spans="1:8" x14ac:dyDescent="0.2">
      <c r="A28" s="1">
        <v>2018</v>
      </c>
      <c r="B28" s="1" t="s">
        <v>3</v>
      </c>
      <c r="C28" s="1" t="str">
        <f t="shared" si="1"/>
        <v>18-Mar</v>
      </c>
      <c r="D28" s="4">
        <v>753</v>
      </c>
      <c r="E28" s="3">
        <f t="shared" si="2"/>
        <v>1230.1635083075585</v>
      </c>
      <c r="F28" s="3">
        <f t="shared" si="3"/>
        <v>2.6853020028013201</v>
      </c>
      <c r="G28" s="3">
        <f t="shared" si="4"/>
        <v>0.6723847685743084</v>
      </c>
      <c r="H28" s="3">
        <f t="shared" si="5"/>
        <v>885.39858186060189</v>
      </c>
    </row>
    <row r="29" spans="1:8" x14ac:dyDescent="0.2">
      <c r="A29" s="1">
        <v>2018</v>
      </c>
      <c r="B29" s="1" t="s">
        <v>4</v>
      </c>
      <c r="C29" s="1" t="str">
        <f t="shared" si="1"/>
        <v>18-Apr</v>
      </c>
      <c r="D29" s="4">
        <v>391</v>
      </c>
      <c r="E29" s="3">
        <f t="shared" si="2"/>
        <v>1203.6994395883498</v>
      </c>
      <c r="F29" s="3">
        <f t="shared" si="3"/>
        <v>-3.1445721416006696</v>
      </c>
      <c r="G29" s="3">
        <f t="shared" si="4"/>
        <v>0.34921988907469392</v>
      </c>
      <c r="H29" s="3">
        <f t="shared" si="5"/>
        <v>443.42104423627643</v>
      </c>
    </row>
    <row r="30" spans="1:8" x14ac:dyDescent="0.2">
      <c r="A30" s="1">
        <v>2018</v>
      </c>
      <c r="B30" s="1" t="s">
        <v>5</v>
      </c>
      <c r="C30" s="1" t="str">
        <f t="shared" si="1"/>
        <v>18-May</v>
      </c>
      <c r="D30" s="4">
        <v>128</v>
      </c>
      <c r="E30" s="3">
        <f t="shared" si="2"/>
        <v>1178.6676111362458</v>
      </c>
      <c r="F30" s="3">
        <f t="shared" si="3"/>
        <v>-7.5220234037013434</v>
      </c>
      <c r="G30" s="3">
        <f t="shared" si="4"/>
        <v>0.11469672313159668</v>
      </c>
      <c r="H30" s="3">
        <f t="shared" si="5"/>
        <v>140.8380583190615</v>
      </c>
    </row>
    <row r="31" spans="1:8" x14ac:dyDescent="0.2">
      <c r="A31" s="1">
        <v>2018</v>
      </c>
      <c r="B31" s="1" t="s">
        <v>6</v>
      </c>
      <c r="C31" s="1" t="str">
        <f t="shared" si="1"/>
        <v>18-Jun</v>
      </c>
      <c r="D31" s="4">
        <v>66</v>
      </c>
      <c r="E31" s="3">
        <f t="shared" si="2"/>
        <v>1163.7317125519537</v>
      </c>
      <c r="F31" s="3">
        <f t="shared" si="3"/>
        <v>-9.004798439819492</v>
      </c>
      <c r="G31" s="3">
        <f t="shared" si="4"/>
        <v>5.7752233740268125E-2</v>
      </c>
      <c r="H31" s="3">
        <f t="shared" si="5"/>
        <v>68.15733191832669</v>
      </c>
    </row>
    <row r="32" spans="1:8" x14ac:dyDescent="0.2">
      <c r="A32" s="1">
        <v>2018</v>
      </c>
      <c r="B32" s="1" t="s">
        <v>7</v>
      </c>
      <c r="C32" s="1" t="str">
        <f t="shared" si="1"/>
        <v>18-Jul</v>
      </c>
      <c r="D32" s="4">
        <v>70</v>
      </c>
      <c r="E32" s="3">
        <f t="shared" si="2"/>
        <v>1141.8531279878189</v>
      </c>
      <c r="F32" s="3">
        <f t="shared" si="3"/>
        <v>-11.579555664682559</v>
      </c>
      <c r="G32" s="3">
        <f t="shared" si="4"/>
        <v>6.3330526088705485E-2</v>
      </c>
      <c r="H32" s="3">
        <f t="shared" si="5"/>
        <v>74.132427341968807</v>
      </c>
    </row>
    <row r="33" spans="1:8" x14ac:dyDescent="0.2">
      <c r="A33" s="1">
        <v>2018</v>
      </c>
      <c r="B33" s="1" t="s">
        <v>8</v>
      </c>
      <c r="C33" s="1" t="str">
        <f t="shared" si="1"/>
        <v>18-Aug</v>
      </c>
      <c r="D33" s="4">
        <v>116</v>
      </c>
      <c r="E33" s="3">
        <f t="shared" si="2"/>
        <v>1107.7875027955952</v>
      </c>
      <c r="F33" s="3">
        <f t="shared" si="3"/>
        <v>-16.076769570190791</v>
      </c>
      <c r="G33" s="3">
        <f t="shared" si="4"/>
        <v>0.11119049640981679</v>
      </c>
      <c r="H33" s="3">
        <f t="shared" si="5"/>
        <v>128.81328991505987</v>
      </c>
    </row>
    <row r="34" spans="1:8" x14ac:dyDescent="0.2">
      <c r="A34" s="1">
        <v>2018</v>
      </c>
      <c r="B34" s="1" t="s">
        <v>9</v>
      </c>
      <c r="C34" s="1" t="str">
        <f t="shared" si="1"/>
        <v>18-Sep</v>
      </c>
      <c r="D34" s="3">
        <v>1968</v>
      </c>
      <c r="E34" s="3">
        <f t="shared" si="2"/>
        <v>1066.218060794735</v>
      </c>
      <c r="F34" s="3">
        <f t="shared" si="3"/>
        <v>-21.175304056324663</v>
      </c>
      <c r="G34" s="3">
        <f t="shared" si="4"/>
        <v>1.9824119135954272</v>
      </c>
      <c r="H34" s="3">
        <f t="shared" si="5"/>
        <v>2228.1489039466005</v>
      </c>
    </row>
    <row r="35" spans="1:8" x14ac:dyDescent="0.2">
      <c r="A35" s="1">
        <v>2018</v>
      </c>
      <c r="B35" s="1" t="s">
        <v>10</v>
      </c>
      <c r="C35" s="1" t="str">
        <f t="shared" si="1"/>
        <v>18-Oct</v>
      </c>
      <c r="D35" s="3">
        <v>2379</v>
      </c>
      <c r="E35" s="3">
        <f t="shared" si="2"/>
        <v>1051.1405300798501</v>
      </c>
      <c r="F35" s="3">
        <f t="shared" si="3"/>
        <v>-19.955749388036715</v>
      </c>
      <c r="G35" s="3">
        <f t="shared" si="4"/>
        <v>2.2273273361047021</v>
      </c>
      <c r="H35" s="3">
        <f t="shared" si="5"/>
        <v>2311.5607798829233</v>
      </c>
    </row>
    <row r="36" spans="1:8" x14ac:dyDescent="0.2">
      <c r="A36" s="1">
        <v>2018</v>
      </c>
      <c r="B36" s="1" t="s">
        <v>11</v>
      </c>
      <c r="C36" s="1" t="str">
        <f t="shared" si="1"/>
        <v>18-Nov</v>
      </c>
      <c r="D36" s="3">
        <v>2045</v>
      </c>
      <c r="E36" s="3">
        <f t="shared" si="2"/>
        <v>1033.7071799426426</v>
      </c>
      <c r="F36" s="3">
        <f t="shared" si="3"/>
        <v>-19.451269537870878</v>
      </c>
      <c r="G36" s="3">
        <f t="shared" si="4"/>
        <v>1.9649305020437948</v>
      </c>
      <c r="H36" s="3">
        <f t="shared" si="5"/>
        <v>2020.2906572338791</v>
      </c>
    </row>
    <row r="37" spans="1:8" x14ac:dyDescent="0.2">
      <c r="A37" s="1">
        <v>2018</v>
      </c>
      <c r="B37" s="1" t="s">
        <v>12</v>
      </c>
      <c r="C37" s="1" t="str">
        <f t="shared" si="1"/>
        <v>18-Dec</v>
      </c>
      <c r="D37" s="3">
        <v>2642</v>
      </c>
      <c r="E37" s="3">
        <f t="shared" si="2"/>
        <v>1037.1543789138364</v>
      </c>
      <c r="F37" s="3">
        <f t="shared" si="3"/>
        <v>-14.871575836057952</v>
      </c>
      <c r="G37" s="3">
        <f t="shared" si="4"/>
        <v>2.4026585347098055</v>
      </c>
      <c r="H37" s="3">
        <f t="shared" si="5"/>
        <v>2374.0139648374579</v>
      </c>
    </row>
    <row r="38" spans="1:8" x14ac:dyDescent="0.2">
      <c r="A38" s="1">
        <v>2019</v>
      </c>
      <c r="B38" s="1" t="s">
        <v>1</v>
      </c>
      <c r="C38" s="1" t="str">
        <f t="shared" si="1"/>
        <v>19-Jan</v>
      </c>
      <c r="D38" s="3">
        <v>998</v>
      </c>
      <c r="E38" s="3">
        <f t="shared" si="2"/>
        <v>998.05289272513664</v>
      </c>
      <c r="F38" s="3">
        <f t="shared" si="3"/>
        <v>-19.717557906586304</v>
      </c>
      <c r="G38" s="3">
        <f t="shared" si="4"/>
        <v>1.0752301583221526</v>
      </c>
      <c r="H38" s="3">
        <f t="shared" si="5"/>
        <v>1132.1724461763054</v>
      </c>
    </row>
    <row r="39" spans="1:8" x14ac:dyDescent="0.2">
      <c r="A39" s="1">
        <v>2019</v>
      </c>
      <c r="B39" s="1" t="s">
        <v>2</v>
      </c>
      <c r="C39" s="1" t="str">
        <f t="shared" si="1"/>
        <v>19-Feb</v>
      </c>
      <c r="D39" s="4">
        <v>1007</v>
      </c>
      <c r="E39" s="3">
        <f t="shared" si="2"/>
        <v>1020.453757003242</v>
      </c>
      <c r="F39" s="3">
        <f t="shared" si="3"/>
        <v>-11.293873469647972</v>
      </c>
      <c r="G39" s="3">
        <f t="shared" si="4"/>
        <v>0.88893208629680087</v>
      </c>
      <c r="H39" s="3">
        <f t="shared" si="5"/>
        <v>828.63229853982239</v>
      </c>
    </row>
    <row r="40" spans="1:8" x14ac:dyDescent="0.2">
      <c r="A40" s="1">
        <v>2019</v>
      </c>
      <c r="B40" s="1" t="s">
        <v>3</v>
      </c>
      <c r="C40" s="1" t="str">
        <f t="shared" si="1"/>
        <v>19-Mar</v>
      </c>
      <c r="D40" s="4">
        <v>755</v>
      </c>
      <c r="E40" s="3">
        <f t="shared" si="2"/>
        <v>1031.9017030480077</v>
      </c>
      <c r="F40" s="3">
        <f t="shared" si="3"/>
        <v>-6.7455095667652429</v>
      </c>
      <c r="G40" s="3">
        <f t="shared" si="4"/>
        <v>0.6901669891164286</v>
      </c>
      <c r="H40" s="3">
        <f t="shared" si="5"/>
        <v>678.54373474421163</v>
      </c>
    </row>
    <row r="41" spans="1:8" x14ac:dyDescent="0.2">
      <c r="A41" s="1">
        <v>2019</v>
      </c>
      <c r="B41" s="1" t="s">
        <v>4</v>
      </c>
      <c r="C41" s="1" t="str">
        <f t="shared" si="1"/>
        <v>19-Apr</v>
      </c>
      <c r="D41" s="4">
        <v>278</v>
      </c>
      <c r="E41" s="3">
        <f t="shared" si="2"/>
        <v>979.3369634346725</v>
      </c>
      <c r="F41" s="3">
        <f t="shared" si="3"/>
        <v>-15.909355576079232</v>
      </c>
      <c r="G41" s="3">
        <f t="shared" si="4"/>
        <v>0.32961357946101411</v>
      </c>
      <c r="H41" s="3">
        <f t="shared" si="5"/>
        <v>358.00493217175489</v>
      </c>
    </row>
    <row r="42" spans="1:8" x14ac:dyDescent="0.2">
      <c r="A42" s="1">
        <v>2019</v>
      </c>
      <c r="B42" s="1" t="s">
        <v>5</v>
      </c>
      <c r="C42" s="1" t="str">
        <f t="shared" si="1"/>
        <v>19-May</v>
      </c>
      <c r="D42" s="4">
        <v>118</v>
      </c>
      <c r="E42" s="3">
        <f t="shared" si="2"/>
        <v>976.502105890248</v>
      </c>
      <c r="F42" s="3">
        <f t="shared" si="3"/>
        <v>-13.294455969748286</v>
      </c>
      <c r="G42" s="3">
        <f t="shared" si="4"/>
        <v>0.116539548135384</v>
      </c>
      <c r="H42" s="3">
        <f t="shared" si="5"/>
        <v>110.50198959589358</v>
      </c>
    </row>
    <row r="43" spans="1:8" x14ac:dyDescent="0.2">
      <c r="A43" s="1">
        <v>2019</v>
      </c>
      <c r="B43" s="1" t="s">
        <v>6</v>
      </c>
      <c r="C43" s="1" t="str">
        <f t="shared" si="1"/>
        <v>19-Jun</v>
      </c>
      <c r="D43" s="4">
        <v>67</v>
      </c>
      <c r="E43" s="3">
        <f t="shared" si="2"/>
        <v>1002.5917773380592</v>
      </c>
      <c r="F43" s="3">
        <f t="shared" si="3"/>
        <v>-5.4176304862363978</v>
      </c>
      <c r="G43" s="3">
        <f t="shared" si="4"/>
        <v>6.0474603562587284E-2</v>
      </c>
      <c r="H43" s="3">
        <f t="shared" si="5"/>
        <v>55.627393338623051</v>
      </c>
    </row>
    <row r="44" spans="1:8" x14ac:dyDescent="0.2">
      <c r="A44" s="1">
        <v>2019</v>
      </c>
      <c r="B44" s="1" t="s">
        <v>7</v>
      </c>
      <c r="C44" s="1" t="str">
        <f t="shared" si="1"/>
        <v>19-Jul</v>
      </c>
      <c r="D44" s="4">
        <v>49</v>
      </c>
      <c r="E44" s="3">
        <f t="shared" si="2"/>
        <v>952.48301858814716</v>
      </c>
      <c r="F44" s="3">
        <f t="shared" si="3"/>
        <v>-14.355856138971518</v>
      </c>
      <c r="G44" s="3">
        <f t="shared" si="4"/>
        <v>5.9764714277847075E-2</v>
      </c>
      <c r="H44" s="3">
        <f t="shared" si="5"/>
        <v>63.151563322182</v>
      </c>
    </row>
    <row r="45" spans="1:8" x14ac:dyDescent="0.2">
      <c r="A45" s="1">
        <v>2019</v>
      </c>
      <c r="B45" s="1" t="s">
        <v>8</v>
      </c>
      <c r="C45" s="1" t="str">
        <f t="shared" si="1"/>
        <v>19-Aug</v>
      </c>
      <c r="D45" s="4">
        <v>121</v>
      </c>
      <c r="E45" s="3">
        <f t="shared" si="2"/>
        <v>968.14622999651669</v>
      </c>
      <c r="F45" s="3">
        <f t="shared" si="3"/>
        <v>-8.352042629503309</v>
      </c>
      <c r="G45" s="3">
        <f t="shared" si="4"/>
        <v>0.1153276834407809</v>
      </c>
      <c r="H45" s="3">
        <f t="shared" si="5"/>
        <v>104.31082488825668</v>
      </c>
    </row>
    <row r="46" spans="1:8" x14ac:dyDescent="0.2">
      <c r="A46" s="1">
        <v>2019</v>
      </c>
      <c r="B46" s="1" t="s">
        <v>9</v>
      </c>
      <c r="C46" s="1" t="str">
        <f t="shared" si="1"/>
        <v>19-Sep</v>
      </c>
      <c r="D46" s="3">
        <v>2055</v>
      </c>
      <c r="E46" s="3">
        <f t="shared" ref="E46:E77" si="6">$Q$2*(D46/G34)+(1-$Q$2)*(E45+F45)</f>
        <v>975.15855915267161</v>
      </c>
      <c r="F46" s="3">
        <f t="shared" ref="F46:F77" si="7">$R$2*(E46-E45)+(1-$R$2)*F45</f>
        <v>-5.2791682723716633</v>
      </c>
      <c r="G46" s="3">
        <f t="shared" ref="G46:G77" si="8">$S$2*(D46/E46)+(1-$S$2)*G34</f>
        <v>2.0198932196500206</v>
      </c>
      <c r="H46" s="3">
        <f t="shared" si="5"/>
        <v>1902.707431636009</v>
      </c>
    </row>
    <row r="47" spans="1:8" x14ac:dyDescent="0.2">
      <c r="A47" s="1">
        <v>2019</v>
      </c>
      <c r="B47" s="1" t="s">
        <v>10</v>
      </c>
      <c r="C47" s="1" t="str">
        <f t="shared" si="1"/>
        <v>19-Oct</v>
      </c>
      <c r="D47" s="3">
        <v>1864</v>
      </c>
      <c r="E47" s="3">
        <f t="shared" si="6"/>
        <v>943.27900078673156</v>
      </c>
      <c r="F47" s="3">
        <f t="shared" si="7"/>
        <v>-10.599246291085343</v>
      </c>
      <c r="G47" s="3">
        <f t="shared" si="8"/>
        <v>2.1519547992959245</v>
      </c>
      <c r="H47" s="3">
        <f t="shared" si="5"/>
        <v>2160.2388800322697</v>
      </c>
    </row>
    <row r="48" spans="1:8" x14ac:dyDescent="0.2">
      <c r="A48" s="1">
        <v>2019</v>
      </c>
      <c r="B48" s="1" t="s">
        <v>11</v>
      </c>
      <c r="C48" s="1" t="str">
        <f t="shared" si="1"/>
        <v>19-Nov</v>
      </c>
      <c r="D48" s="3">
        <v>1575</v>
      </c>
      <c r="E48" s="3">
        <f t="shared" si="6"/>
        <v>906.45481697452567</v>
      </c>
      <c r="F48" s="3">
        <f t="shared" si="7"/>
        <v>-15.844233795309453</v>
      </c>
      <c r="G48" s="3">
        <f t="shared" si="8"/>
        <v>1.8967128541021996</v>
      </c>
      <c r="H48" s="3">
        <f t="shared" si="5"/>
        <v>1832.6508982472135</v>
      </c>
    </row>
    <row r="49" spans="1:8" x14ac:dyDescent="0.2">
      <c r="A49" s="1">
        <v>2019</v>
      </c>
      <c r="B49" s="1" t="s">
        <v>12</v>
      </c>
      <c r="C49" s="1" t="str">
        <f t="shared" si="1"/>
        <v>19-Dec</v>
      </c>
      <c r="D49" s="3">
        <v>2167</v>
      </c>
      <c r="E49" s="3">
        <f t="shared" si="6"/>
        <v>892.87198494139875</v>
      </c>
      <c r="F49" s="3">
        <f t="shared" si="7"/>
        <v>-15.391953442872948</v>
      </c>
      <c r="G49" s="3">
        <f t="shared" si="8"/>
        <v>2.4099608709944484</v>
      </c>
      <c r="H49" s="3">
        <f t="shared" si="5"/>
        <v>2139.8331187784211</v>
      </c>
    </row>
    <row r="50" spans="1:8" x14ac:dyDescent="0.2">
      <c r="A50" s="1">
        <v>2020</v>
      </c>
      <c r="B50" s="1" t="s">
        <v>1</v>
      </c>
      <c r="C50" s="1" t="str">
        <f t="shared" si="1"/>
        <v>20-Jan</v>
      </c>
      <c r="D50" s="3">
        <v>1569</v>
      </c>
      <c r="E50" s="3">
        <f t="shared" si="6"/>
        <v>993.8285178139372</v>
      </c>
      <c r="F50" s="3">
        <f t="shared" si="7"/>
        <v>7.8777438202093322</v>
      </c>
      <c r="G50" s="3">
        <f t="shared" si="8"/>
        <v>1.2262840664591099</v>
      </c>
      <c r="H50" s="3">
        <f t="shared" si="5"/>
        <v>943.49299319268744</v>
      </c>
    </row>
    <row r="51" spans="1:8" x14ac:dyDescent="0.2">
      <c r="A51" s="1">
        <v>2020</v>
      </c>
      <c r="B51" s="1" t="s">
        <v>2</v>
      </c>
      <c r="C51" s="1" t="str">
        <f t="shared" si="1"/>
        <v>20-Feb</v>
      </c>
      <c r="D51" s="3">
        <v>1172</v>
      </c>
      <c r="E51" s="3">
        <f t="shared" si="6"/>
        <v>1065.0521948790365</v>
      </c>
      <c r="F51" s="3">
        <f t="shared" si="7"/>
        <v>20.54693046918733</v>
      </c>
      <c r="G51" s="3">
        <f t="shared" si="8"/>
        <v>0.95237712630728777</v>
      </c>
      <c r="H51" s="3">
        <f t="shared" si="5"/>
        <v>890.44883701101094</v>
      </c>
    </row>
    <row r="52" spans="1:8" x14ac:dyDescent="0.2">
      <c r="A52" s="1">
        <v>2020</v>
      </c>
      <c r="B52" s="1" t="s">
        <v>3</v>
      </c>
      <c r="C52" s="1" t="str">
        <f t="shared" si="1"/>
        <v>20-Mar</v>
      </c>
      <c r="D52" s="4">
        <v>834</v>
      </c>
      <c r="E52" s="3">
        <f t="shared" si="6"/>
        <v>1110.1599408052175</v>
      </c>
      <c r="F52" s="3">
        <f t="shared" si="7"/>
        <v>25.459093560586066</v>
      </c>
      <c r="G52" s="3">
        <f t="shared" si="8"/>
        <v>0.70848982361744939</v>
      </c>
      <c r="H52" s="3">
        <f t="shared" si="5"/>
        <v>749.24467972901209</v>
      </c>
    </row>
    <row r="53" spans="1:8" x14ac:dyDescent="0.2">
      <c r="A53" s="1">
        <v>2020</v>
      </c>
      <c r="B53" s="1" t="s">
        <v>4</v>
      </c>
      <c r="C53" s="1" t="str">
        <f t="shared" si="1"/>
        <v>20-Apr</v>
      </c>
      <c r="D53" s="4">
        <v>444</v>
      </c>
      <c r="E53" s="3">
        <f t="shared" si="6"/>
        <v>1177.9016037263109</v>
      </c>
      <c r="F53" s="3">
        <f t="shared" si="7"/>
        <v>33.91560743268753</v>
      </c>
      <c r="G53" s="3">
        <f t="shared" si="8"/>
        <v>0.34381195629483696</v>
      </c>
      <c r="H53" s="3">
        <f t="shared" si="5"/>
        <v>374.3154548213729</v>
      </c>
    </row>
    <row r="54" spans="1:8" x14ac:dyDescent="0.2">
      <c r="A54" s="1">
        <v>2020</v>
      </c>
      <c r="B54" s="1" t="s">
        <v>5</v>
      </c>
      <c r="C54" s="1" t="str">
        <f t="shared" si="1"/>
        <v>20-May</v>
      </c>
      <c r="D54" s="4">
        <v>158</v>
      </c>
      <c r="E54" s="3">
        <f t="shared" si="6"/>
        <v>1240.6063562299253</v>
      </c>
      <c r="F54" s="3">
        <f t="shared" si="7"/>
        <v>39.673436446872898</v>
      </c>
      <c r="G54" s="3">
        <f t="shared" si="8"/>
        <v>0.11978480697925986</v>
      </c>
      <c r="H54" s="3">
        <f t="shared" si="5"/>
        <v>141.2246302111509</v>
      </c>
    </row>
    <row r="55" spans="1:8" x14ac:dyDescent="0.2">
      <c r="A55" s="1">
        <v>2020</v>
      </c>
      <c r="B55" s="1" t="s">
        <v>6</v>
      </c>
      <c r="C55" s="1" t="str">
        <f t="shared" si="1"/>
        <v>20-Jun</v>
      </c>
      <c r="D55" s="4">
        <v>69</v>
      </c>
      <c r="E55" s="3">
        <f t="shared" si="6"/>
        <v>1252.4187984245514</v>
      </c>
      <c r="F55" s="3">
        <f t="shared" si="7"/>
        <v>34.101237596423537</v>
      </c>
      <c r="G55" s="3">
        <f t="shared" si="8"/>
        <v>5.8860240139377455E-2</v>
      </c>
      <c r="H55" s="3">
        <f t="shared" si="5"/>
        <v>77.424412911320815</v>
      </c>
    </row>
    <row r="56" spans="1:8" x14ac:dyDescent="0.2">
      <c r="A56" s="1">
        <v>2020</v>
      </c>
      <c r="B56" s="1" t="s">
        <v>7</v>
      </c>
      <c r="C56" s="1" t="str">
        <f t="shared" si="1"/>
        <v>20-Jul</v>
      </c>
      <c r="D56" s="4">
        <v>85</v>
      </c>
      <c r="E56" s="3">
        <f t="shared" si="6"/>
        <v>1313.6648077562515</v>
      </c>
      <c r="F56" s="3">
        <f t="shared" si="7"/>
        <v>39.530191943478869</v>
      </c>
      <c r="G56" s="3">
        <f t="shared" si="8"/>
        <v>6.1246644387248798E-2</v>
      </c>
      <c r="H56" s="3">
        <f t="shared" si="5"/>
        <v>76.888502365519088</v>
      </c>
    </row>
    <row r="57" spans="1:8" x14ac:dyDescent="0.2">
      <c r="A57" s="1">
        <v>2020</v>
      </c>
      <c r="B57" s="1" t="s">
        <v>8</v>
      </c>
      <c r="C57" s="1" t="str">
        <f t="shared" si="1"/>
        <v>20-Aug</v>
      </c>
      <c r="D57" s="4">
        <v>173</v>
      </c>
      <c r="E57" s="3">
        <f t="shared" si="6"/>
        <v>1382.5706967320566</v>
      </c>
      <c r="F57" s="3">
        <f t="shared" si="7"/>
        <v>45.405331349944106</v>
      </c>
      <c r="G57" s="3">
        <f t="shared" si="8"/>
        <v>0.11826814595415899</v>
      </c>
      <c r="H57" s="3">
        <f t="shared" si="5"/>
        <v>156.06084455901811</v>
      </c>
    </row>
    <row r="58" spans="1:8" x14ac:dyDescent="0.2">
      <c r="A58" s="1">
        <v>2020</v>
      </c>
      <c r="B58" s="1" t="s">
        <v>9</v>
      </c>
      <c r="C58" s="1" t="str">
        <f t="shared" si="1"/>
        <v>20-Sep</v>
      </c>
      <c r="D58" s="3">
        <v>2795</v>
      </c>
      <c r="E58" s="3">
        <f t="shared" si="6"/>
        <v>1419.1281250268994</v>
      </c>
      <c r="F58" s="3">
        <f t="shared" si="7"/>
        <v>43.635750738923846</v>
      </c>
      <c r="G58" s="3">
        <f t="shared" si="8"/>
        <v>2.0047809948348454</v>
      </c>
      <c r="H58" s="3">
        <f t="shared" si="5"/>
        <v>2884.3590969456009</v>
      </c>
    </row>
    <row r="59" spans="1:8" x14ac:dyDescent="0.2">
      <c r="A59" s="1">
        <v>2020</v>
      </c>
      <c r="B59" s="1" t="s">
        <v>10</v>
      </c>
      <c r="C59" s="1" t="str">
        <f t="shared" si="1"/>
        <v>20-Oct</v>
      </c>
      <c r="D59" s="3">
        <v>2593</v>
      </c>
      <c r="E59" s="3">
        <f t="shared" si="6"/>
        <v>1411.201292492932</v>
      </c>
      <c r="F59" s="3">
        <f t="shared" si="7"/>
        <v>33.3232340843456</v>
      </c>
      <c r="G59" s="3">
        <f t="shared" si="8"/>
        <v>2.0576008478404129</v>
      </c>
      <c r="H59" s="3">
        <f t="shared" si="5"/>
        <v>3147.801742690971</v>
      </c>
    </row>
    <row r="60" spans="1:8" x14ac:dyDescent="0.2">
      <c r="A60" s="1">
        <v>2020</v>
      </c>
      <c r="B60" s="1" t="s">
        <v>11</v>
      </c>
      <c r="C60" s="1" t="str">
        <f t="shared" si="1"/>
        <v>20-Nov</v>
      </c>
      <c r="D60" s="3">
        <v>2170</v>
      </c>
      <c r="E60" s="3">
        <f t="shared" si="6"/>
        <v>1384.4365447414873</v>
      </c>
      <c r="F60" s="3">
        <f t="shared" si="7"/>
        <v>21.30563771718754</v>
      </c>
      <c r="G60" s="3">
        <f t="shared" si="8"/>
        <v>1.7979264001116038</v>
      </c>
      <c r="H60" s="3">
        <f t="shared" si="5"/>
        <v>2739.8482376250167</v>
      </c>
    </row>
    <row r="61" spans="1:8" x14ac:dyDescent="0.2">
      <c r="A61" s="1">
        <v>2020</v>
      </c>
      <c r="B61" s="1" t="s">
        <v>12</v>
      </c>
      <c r="C61" s="1" t="str">
        <f t="shared" si="1"/>
        <v>20-Dec</v>
      </c>
      <c r="D61" s="3">
        <v>2941</v>
      </c>
      <c r="E61" s="3">
        <f t="shared" si="6"/>
        <v>1368.6640987595497</v>
      </c>
      <c r="F61" s="3">
        <f t="shared" si="7"/>
        <v>13.890020977362513</v>
      </c>
      <c r="G61" s="3">
        <f t="shared" si="8"/>
        <v>2.3316158065182178</v>
      </c>
      <c r="H61" s="3">
        <f t="shared" si="5"/>
        <v>3387.7836544317447</v>
      </c>
    </row>
    <row r="62" spans="1:8" x14ac:dyDescent="0.2">
      <c r="A62" s="1">
        <v>2021</v>
      </c>
      <c r="B62" s="1" t="s">
        <v>1</v>
      </c>
      <c r="C62" s="1" t="str">
        <f t="shared" si="1"/>
        <v>21-Jan</v>
      </c>
      <c r="D62" s="3">
        <v>1563</v>
      </c>
      <c r="E62" s="3">
        <f t="shared" si="6"/>
        <v>1360.9597613541778</v>
      </c>
      <c r="F62" s="3">
        <f t="shared" si="7"/>
        <v>9.5711493008156268</v>
      </c>
      <c r="G62" s="3">
        <f t="shared" si="8"/>
        <v>1.2029351166704934</v>
      </c>
      <c r="H62" s="3">
        <f t="shared" si="5"/>
        <v>1695.404088050776</v>
      </c>
    </row>
    <row r="63" spans="1:8" x14ac:dyDescent="0.2">
      <c r="A63" s="1">
        <v>2021</v>
      </c>
      <c r="B63" s="1" t="s">
        <v>2</v>
      </c>
      <c r="C63" s="1" t="str">
        <f t="shared" si="1"/>
        <v>21-Feb</v>
      </c>
      <c r="D63" s="3">
        <v>1334</v>
      </c>
      <c r="E63" s="3">
        <f t="shared" si="6"/>
        <v>1376.5658539566064</v>
      </c>
      <c r="F63" s="3">
        <f t="shared" si="7"/>
        <v>10.778137961138219</v>
      </c>
      <c r="G63" s="3">
        <f t="shared" si="8"/>
        <v>0.957387457146889</v>
      </c>
      <c r="H63" s="3">
        <f t="shared" si="5"/>
        <v>1305.2622902049129</v>
      </c>
    </row>
    <row r="64" spans="1:8" x14ac:dyDescent="0.2">
      <c r="A64" s="1">
        <v>2021</v>
      </c>
      <c r="B64" s="1" t="s">
        <v>3</v>
      </c>
      <c r="C64" s="1" t="str">
        <f t="shared" si="1"/>
        <v>21-Mar</v>
      </c>
      <c r="D64" s="4">
        <v>842</v>
      </c>
      <c r="E64" s="3">
        <f t="shared" si="6"/>
        <v>1347.5638580518785</v>
      </c>
      <c r="F64" s="3">
        <f t="shared" si="7"/>
        <v>2.822111187964996</v>
      </c>
      <c r="G64" s="3">
        <f t="shared" si="8"/>
        <v>0.68339224933238307</v>
      </c>
      <c r="H64" s="3">
        <f t="shared" si="5"/>
        <v>982.91910013053109</v>
      </c>
    </row>
    <row r="65" spans="1:9" x14ac:dyDescent="0.2">
      <c r="A65" s="1">
        <v>2021</v>
      </c>
      <c r="B65" s="1" t="s">
        <v>4</v>
      </c>
      <c r="C65" s="1" t="str">
        <f t="shared" si="1"/>
        <v>21-Apr</v>
      </c>
      <c r="D65" s="4">
        <v>468</v>
      </c>
      <c r="E65" s="3">
        <f t="shared" si="6"/>
        <v>1352.5506165677909</v>
      </c>
      <c r="F65" s="3">
        <f t="shared" si="7"/>
        <v>3.2550406535544911</v>
      </c>
      <c r="G65" s="3">
        <f t="shared" si="8"/>
        <v>0.3444722480044945</v>
      </c>
      <c r="H65" s="3">
        <f t="shared" si="5"/>
        <v>464.2788418374501</v>
      </c>
    </row>
    <row r="66" spans="1:9" x14ac:dyDescent="0.2">
      <c r="A66" s="1">
        <v>2021</v>
      </c>
      <c r="B66" s="1" t="s">
        <v>5</v>
      </c>
      <c r="C66" s="1" t="str">
        <f t="shared" si="1"/>
        <v>21-May</v>
      </c>
      <c r="D66" s="4">
        <v>150</v>
      </c>
      <c r="E66" s="3">
        <f t="shared" si="6"/>
        <v>1335.093649973556</v>
      </c>
      <c r="F66" s="3">
        <f t="shared" si="7"/>
        <v>-0.88736079600339268</v>
      </c>
      <c r="G66" s="3">
        <f t="shared" si="8"/>
        <v>0.11755486562012421</v>
      </c>
      <c r="H66" s="3">
        <f t="shared" si="5"/>
        <v>162.40491895164743</v>
      </c>
      <c r="I66" s="5"/>
    </row>
    <row r="67" spans="1:9" x14ac:dyDescent="0.2">
      <c r="A67" s="1">
        <v>2021</v>
      </c>
      <c r="B67" s="1" t="s">
        <v>6</v>
      </c>
      <c r="C67" s="1" t="str">
        <f t="shared" ref="C67:C121" si="9">RIGHT(A67,2)&amp;"-"&amp; B67</f>
        <v>21-Jun</v>
      </c>
      <c r="D67" s="4">
        <v>74</v>
      </c>
      <c r="E67" s="3">
        <f t="shared" si="6"/>
        <v>1318.8081101496464</v>
      </c>
      <c r="F67" s="3">
        <f t="shared" si="7"/>
        <v>-3.9669966015846407</v>
      </c>
      <c r="G67" s="3">
        <f t="shared" si="8"/>
        <v>5.8035549564623097E-2</v>
      </c>
      <c r="H67" s="3">
        <f t="shared" si="5"/>
        <v>78.531702576458429</v>
      </c>
      <c r="I67" s="3"/>
    </row>
    <row r="68" spans="1:9" x14ac:dyDescent="0.2">
      <c r="A68" s="1">
        <v>2021</v>
      </c>
      <c r="B68" s="1" t="s">
        <v>7</v>
      </c>
      <c r="C68" s="1" t="str">
        <f t="shared" si="9"/>
        <v>21-Jul</v>
      </c>
      <c r="D68" s="4">
        <v>75</v>
      </c>
      <c r="E68" s="3">
        <f t="shared" si="6"/>
        <v>1296.7842676178589</v>
      </c>
      <c r="F68" s="3">
        <f t="shared" si="7"/>
        <v>-7.5783657876252182</v>
      </c>
      <c r="G68" s="3">
        <f t="shared" si="8"/>
        <v>6.0223262550446591E-2</v>
      </c>
      <c r="H68" s="3">
        <f t="shared" si="5"/>
        <v>80.529606107212359</v>
      </c>
      <c r="I68" s="3"/>
    </row>
    <row r="69" spans="1:9" x14ac:dyDescent="0.2">
      <c r="A69" s="1">
        <v>2021</v>
      </c>
      <c r="B69" s="1" t="s">
        <v>8</v>
      </c>
      <c r="C69" s="1" t="str">
        <f t="shared" si="9"/>
        <v>21-Aug</v>
      </c>
      <c r="D69" s="4">
        <v>150</v>
      </c>
      <c r="E69" s="3">
        <f t="shared" si="6"/>
        <v>1285.0255847335584</v>
      </c>
      <c r="F69" s="3">
        <f t="shared" si="7"/>
        <v>-8.4144292069602695</v>
      </c>
      <c r="G69" s="3">
        <f t="shared" si="8"/>
        <v>0.1178064601869047</v>
      </c>
      <c r="H69" s="3">
        <f t="shared" si="5"/>
        <v>152.47199176262123</v>
      </c>
      <c r="I69" s="3"/>
    </row>
    <row r="70" spans="1:9" x14ac:dyDescent="0.2">
      <c r="A70" s="1">
        <v>2021</v>
      </c>
      <c r="B70" s="1" t="s">
        <v>9</v>
      </c>
      <c r="C70" s="1" t="str">
        <f t="shared" si="9"/>
        <v>21-Sep</v>
      </c>
      <c r="D70" s="3">
        <v>3213</v>
      </c>
      <c r="E70" s="3">
        <f t="shared" si="6"/>
        <v>1341.8226892841772</v>
      </c>
      <c r="F70" s="3">
        <f t="shared" si="7"/>
        <v>4.6278775445555382</v>
      </c>
      <c r="G70" s="3">
        <f t="shared" si="8"/>
        <v>2.1216979418192206</v>
      </c>
      <c r="H70" s="3">
        <f t="shared" si="5"/>
        <v>2559.3257823938752</v>
      </c>
      <c r="I70" s="4"/>
    </row>
    <row r="71" spans="1:9" x14ac:dyDescent="0.2">
      <c r="A71" s="1">
        <v>2021</v>
      </c>
      <c r="B71" s="1" t="s">
        <v>10</v>
      </c>
      <c r="C71" s="1" t="str">
        <f t="shared" si="9"/>
        <v>21-Oct</v>
      </c>
      <c r="D71" s="3">
        <v>2675</v>
      </c>
      <c r="E71" s="3">
        <f t="shared" si="6"/>
        <v>1337.172010399074</v>
      </c>
      <c r="F71" s="3">
        <f t="shared" si="7"/>
        <v>2.7721662586237987</v>
      </c>
      <c r="G71" s="3">
        <f t="shared" si="8"/>
        <v>2.0404677651004861</v>
      </c>
      <c r="H71" s="3">
        <f t="shared" si="5"/>
        <v>2770.4578278820049</v>
      </c>
      <c r="I71" s="4"/>
    </row>
    <row r="72" spans="1:9" x14ac:dyDescent="0.2">
      <c r="A72" s="1">
        <v>2021</v>
      </c>
      <c r="B72" s="1" t="s">
        <v>11</v>
      </c>
      <c r="C72" s="1" t="str">
        <f t="shared" si="9"/>
        <v>21-Nov</v>
      </c>
      <c r="D72" s="3">
        <v>2150</v>
      </c>
      <c r="E72" s="3">
        <f t="shared" si="6"/>
        <v>1311.1197475962417</v>
      </c>
      <c r="F72" s="3">
        <f t="shared" si="7"/>
        <v>-2.9927195536674165</v>
      </c>
      <c r="G72" s="3">
        <f t="shared" si="8"/>
        <v>1.7504943920991405</v>
      </c>
      <c r="H72" s="3">
        <f t="shared" si="5"/>
        <v>2409.1210098886818</v>
      </c>
      <c r="I72" s="4"/>
    </row>
    <row r="73" spans="1:9" x14ac:dyDescent="0.2">
      <c r="A73" s="1">
        <v>2021</v>
      </c>
      <c r="B73" s="1" t="s">
        <v>12</v>
      </c>
      <c r="C73" s="1" t="str">
        <f t="shared" si="9"/>
        <v>21-Dec</v>
      </c>
      <c r="D73" s="3">
        <v>2776</v>
      </c>
      <c r="E73" s="3">
        <f t="shared" si="6"/>
        <v>1284.6197542668831</v>
      </c>
      <c r="F73" s="3">
        <f t="shared" si="7"/>
        <v>-7.6941743088056596</v>
      </c>
      <c r="G73" s="3">
        <f t="shared" si="8"/>
        <v>2.280416284553993</v>
      </c>
      <c r="H73" s="3">
        <f t="shared" si="5"/>
        <v>3050.049655517766</v>
      </c>
      <c r="I73" s="4"/>
    </row>
    <row r="74" spans="1:9" x14ac:dyDescent="0.2">
      <c r="A74" s="1">
        <v>2022</v>
      </c>
      <c r="B74" s="1" t="s">
        <v>1</v>
      </c>
      <c r="C74" s="1" t="str">
        <f t="shared" si="9"/>
        <v>22-Jan</v>
      </c>
      <c r="D74" s="3">
        <v>1364</v>
      </c>
      <c r="E74" s="3">
        <f t="shared" si="6"/>
        <v>1248.3191124733416</v>
      </c>
      <c r="F74" s="3">
        <f t="shared" si="7"/>
        <v>-13.415467805752819</v>
      </c>
      <c r="G74" s="3">
        <f t="shared" si="8"/>
        <v>1.1698553786860926</v>
      </c>
      <c r="H74" s="3">
        <f t="shared" si="5"/>
        <v>1536.0586215064072</v>
      </c>
      <c r="I74" s="4"/>
    </row>
    <row r="75" spans="1:9" x14ac:dyDescent="0.2">
      <c r="A75" s="1">
        <v>2022</v>
      </c>
      <c r="B75" s="1" t="s">
        <v>2</v>
      </c>
      <c r="C75" s="1" t="str">
        <f t="shared" si="9"/>
        <v>22-Feb</v>
      </c>
      <c r="D75" s="3">
        <v>1280</v>
      </c>
      <c r="E75" s="3">
        <f t="shared" si="6"/>
        <v>1255.3172690744686</v>
      </c>
      <c r="F75" s="3">
        <f t="shared" si="7"/>
        <v>-9.3327429243768556</v>
      </c>
      <c r="G75" s="3">
        <f t="shared" si="8"/>
        <v>0.97606998317615046</v>
      </c>
      <c r="H75" s="3">
        <f t="shared" si="5"/>
        <v>1182.2812601897283</v>
      </c>
      <c r="I75" s="3"/>
    </row>
    <row r="76" spans="1:9" x14ac:dyDescent="0.2">
      <c r="A76" s="1">
        <v>2022</v>
      </c>
      <c r="B76" s="1" t="s">
        <v>3</v>
      </c>
      <c r="C76" s="1" t="str">
        <f t="shared" si="9"/>
        <v>22-Mar</v>
      </c>
      <c r="D76" s="4">
        <v>719</v>
      </c>
      <c r="E76" s="3">
        <f t="shared" si="6"/>
        <v>1207.208503130079</v>
      </c>
      <c r="F76" s="3">
        <f t="shared" si="7"/>
        <v>-17.087947528379424</v>
      </c>
      <c r="G76" s="3">
        <f t="shared" si="8"/>
        <v>0.65705124839698226</v>
      </c>
      <c r="H76" s="3">
        <f t="shared" si="5"/>
        <v>851.49616795905467</v>
      </c>
      <c r="I76" s="3"/>
    </row>
    <row r="77" spans="1:9" x14ac:dyDescent="0.2">
      <c r="A77" s="1">
        <v>2022</v>
      </c>
      <c r="B77" s="1" t="s">
        <v>4</v>
      </c>
      <c r="C77" s="1" t="str">
        <f t="shared" si="9"/>
        <v>22-Apr</v>
      </c>
      <c r="D77" s="4">
        <v>498</v>
      </c>
      <c r="E77" s="3">
        <f t="shared" si="6"/>
        <v>1241.2343955847546</v>
      </c>
      <c r="F77" s="3">
        <f t="shared" si="7"/>
        <v>-6.8651795317684154</v>
      </c>
      <c r="G77" s="3">
        <f t="shared" si="8"/>
        <v>0.36149462452812597</v>
      </c>
      <c r="H77" s="3">
        <f t="shared" si="5"/>
        <v>409.96350318447543</v>
      </c>
      <c r="I77" s="3"/>
    </row>
    <row r="78" spans="1:9" x14ac:dyDescent="0.2">
      <c r="A78" s="1">
        <v>2022</v>
      </c>
      <c r="B78" s="1" t="s">
        <v>5</v>
      </c>
      <c r="C78" s="1" t="str">
        <f t="shared" si="9"/>
        <v>22-May</v>
      </c>
      <c r="D78" s="4">
        <v>160</v>
      </c>
      <c r="E78" s="3">
        <f t="shared" ref="E78:E109" si="10">$Q$2*(D78/G66)+(1-$Q$2)*(E77+F77)</f>
        <v>1259.7086906935381</v>
      </c>
      <c r="F78" s="3">
        <f t="shared" ref="F78:F109" si="11">$R$2*(E78-E77)+(1-$R$2)*F77</f>
        <v>-1.797284603658031</v>
      </c>
      <c r="G78" s="3">
        <f t="shared" ref="G78:G109" si="12">$S$2*(D78/E78)+(1-$S$2)*G66</f>
        <v>0.12039245360369014</v>
      </c>
      <c r="H78" s="3">
        <f t="shared" si="5"/>
        <v>145.10610731872686</v>
      </c>
      <c r="I78" s="3"/>
    </row>
    <row r="79" spans="1:9" x14ac:dyDescent="0.2">
      <c r="A79" s="1">
        <v>2022</v>
      </c>
      <c r="B79" s="1" t="s">
        <v>6</v>
      </c>
      <c r="C79" s="1" t="str">
        <f t="shared" si="9"/>
        <v>22-Jun</v>
      </c>
      <c r="D79" s="4">
        <v>88</v>
      </c>
      <c r="E79" s="3">
        <f t="shared" si="10"/>
        <v>1309.5915240743489</v>
      </c>
      <c r="F79" s="3">
        <f t="shared" si="11"/>
        <v>8.5387389932357323</v>
      </c>
      <c r="G79" s="3">
        <f t="shared" si="12"/>
        <v>6.0783842289788531E-2</v>
      </c>
      <c r="H79" s="3">
        <f t="shared" ref="H79:H121" si="13">(E78+1*F78)*G67</f>
        <v>73.003579756033972</v>
      </c>
    </row>
    <row r="80" spans="1:9" x14ac:dyDescent="0.2">
      <c r="A80" s="1">
        <v>2022</v>
      </c>
      <c r="B80" s="1" t="s">
        <v>7</v>
      </c>
      <c r="C80" s="1" t="str">
        <f t="shared" si="9"/>
        <v>22-Jul</v>
      </c>
      <c r="D80" s="4">
        <v>77</v>
      </c>
      <c r="E80" s="3">
        <f t="shared" si="10"/>
        <v>1310.2193502158839</v>
      </c>
      <c r="F80" s="3">
        <f t="shared" si="11"/>
        <v>6.9565564228955914</v>
      </c>
      <c r="G80" s="3">
        <f t="shared" si="12"/>
        <v>5.9786919446580954E-2</v>
      </c>
      <c r="H80" s="3">
        <f t="shared" si="13"/>
        <v>79.38210490840838</v>
      </c>
    </row>
    <row r="81" spans="1:8" x14ac:dyDescent="0.2">
      <c r="A81" s="1">
        <v>2022</v>
      </c>
      <c r="B81" s="1" t="s">
        <v>8</v>
      </c>
      <c r="C81" s="1" t="str">
        <f t="shared" si="9"/>
        <v>22-Aug</v>
      </c>
      <c r="D81" s="4">
        <v>158</v>
      </c>
      <c r="E81" s="3">
        <f t="shared" si="10"/>
        <v>1321.9772884830716</v>
      </c>
      <c r="F81" s="3">
        <f t="shared" si="11"/>
        <v>7.9168327917540111</v>
      </c>
      <c r="G81" s="3">
        <f t="shared" si="12"/>
        <v>0.11831990362107814</v>
      </c>
      <c r="H81" s="3">
        <f t="shared" si="13"/>
        <v>155.17183100459147</v>
      </c>
    </row>
    <row r="82" spans="1:8" x14ac:dyDescent="0.2">
      <c r="A82" s="1">
        <v>2022</v>
      </c>
      <c r="B82" s="1" t="s">
        <v>9</v>
      </c>
      <c r="C82" s="1" t="str">
        <f t="shared" si="9"/>
        <v>22-Sep</v>
      </c>
      <c r="D82" s="3">
        <v>2637</v>
      </c>
      <c r="E82" s="3">
        <f t="shared" si="10"/>
        <v>1312.4897946449976</v>
      </c>
      <c r="F82" s="3">
        <f t="shared" si="11"/>
        <v>4.4359674657884121</v>
      </c>
      <c r="G82" s="3">
        <f t="shared" si="12"/>
        <v>2.0879361030850059</v>
      </c>
      <c r="H82" s="3">
        <f t="shared" si="13"/>
        <v>2821.633619946278</v>
      </c>
    </row>
    <row r="83" spans="1:8" x14ac:dyDescent="0.2">
      <c r="A83" s="1">
        <v>2022</v>
      </c>
      <c r="B83" s="1" t="s">
        <v>10</v>
      </c>
      <c r="C83" s="1" t="str">
        <f t="shared" si="9"/>
        <v>22-Oct</v>
      </c>
      <c r="D83" s="3">
        <v>2294</v>
      </c>
      <c r="E83" s="3">
        <f t="shared" si="10"/>
        <v>1278.391013035925</v>
      </c>
      <c r="F83" s="3">
        <f t="shared" si="11"/>
        <v>-3.2709823491837908</v>
      </c>
      <c r="G83" s="3">
        <f t="shared" si="12"/>
        <v>1.9666603814236292</v>
      </c>
      <c r="H83" s="3">
        <f t="shared" si="13"/>
        <v>2687.14456661745</v>
      </c>
    </row>
    <row r="84" spans="1:8" x14ac:dyDescent="0.2">
      <c r="A84" s="1">
        <v>2022</v>
      </c>
      <c r="B84" s="1" t="s">
        <v>11</v>
      </c>
      <c r="C84" s="1" t="str">
        <f t="shared" si="9"/>
        <v>22-Nov</v>
      </c>
      <c r="D84" s="3">
        <v>2242</v>
      </c>
      <c r="E84" s="3">
        <f t="shared" si="10"/>
        <v>1276.2522293472227</v>
      </c>
      <c r="F84" s="3">
        <f t="shared" si="11"/>
        <v>-3.0445426170874792</v>
      </c>
      <c r="G84" s="3">
        <f t="shared" si="12"/>
        <v>1.7523578865028404</v>
      </c>
      <c r="H84" s="3">
        <f t="shared" si="13"/>
        <v>2232.0904629704241</v>
      </c>
    </row>
    <row r="85" spans="1:8" x14ac:dyDescent="0.2">
      <c r="A85" s="1">
        <v>2022</v>
      </c>
      <c r="B85" s="1" t="s">
        <v>12</v>
      </c>
      <c r="C85" s="1" t="str">
        <f t="shared" si="9"/>
        <v>22-Dec</v>
      </c>
      <c r="D85" s="3">
        <v>2615</v>
      </c>
      <c r="E85" s="3">
        <f t="shared" si="10"/>
        <v>1247.9102404355758</v>
      </c>
      <c r="F85" s="3">
        <f t="shared" si="11"/>
        <v>-8.1040318759993681</v>
      </c>
      <c r="G85" s="3">
        <f t="shared" si="12"/>
        <v>2.2249423827121988</v>
      </c>
      <c r="H85" s="3">
        <f t="shared" si="13"/>
        <v>2903.4435424387193</v>
      </c>
    </row>
    <row r="86" spans="1:8" x14ac:dyDescent="0.2">
      <c r="A86" s="1">
        <v>2023</v>
      </c>
      <c r="B86" s="1" t="s">
        <v>1</v>
      </c>
      <c r="C86" s="1" t="str">
        <f t="shared" si="9"/>
        <v>23-Jan</v>
      </c>
      <c r="D86" s="3">
        <v>1572</v>
      </c>
      <c r="E86" s="3">
        <f t="shared" si="10"/>
        <v>1260.5961353494586</v>
      </c>
      <c r="F86" s="3">
        <f t="shared" si="11"/>
        <v>-3.9460465180229454</v>
      </c>
      <c r="G86" s="3">
        <f t="shared" si="12"/>
        <v>1.1930074798188393</v>
      </c>
      <c r="H86" s="3">
        <f t="shared" si="13"/>
        <v>1450.3939616118319</v>
      </c>
    </row>
    <row r="87" spans="1:8" x14ac:dyDescent="0.2">
      <c r="A87" s="1">
        <v>2023</v>
      </c>
      <c r="B87" s="1" t="s">
        <v>2</v>
      </c>
      <c r="C87" s="1" t="str">
        <f t="shared" si="9"/>
        <v>23-Feb</v>
      </c>
      <c r="D87" s="3">
        <v>1261</v>
      </c>
      <c r="E87" s="3">
        <f t="shared" si="10"/>
        <v>1263.7031832876312</v>
      </c>
      <c r="F87" s="3">
        <f t="shared" si="11"/>
        <v>-2.5354276267838309</v>
      </c>
      <c r="G87" s="3">
        <f t="shared" si="12"/>
        <v>0.98260725921841385</v>
      </c>
      <c r="H87" s="3">
        <f t="shared" si="13"/>
        <v>1226.5784310640074</v>
      </c>
    </row>
    <row r="88" spans="1:8" x14ac:dyDescent="0.2">
      <c r="A88" s="1">
        <v>2023</v>
      </c>
      <c r="B88" s="1" t="s">
        <v>3</v>
      </c>
      <c r="C88" s="1" t="str">
        <f t="shared" si="9"/>
        <v>23-Mar</v>
      </c>
      <c r="D88" s="4">
        <v>985</v>
      </c>
      <c r="E88" s="3">
        <f t="shared" si="10"/>
        <v>1308.7586101296474</v>
      </c>
      <c r="F88" s="3">
        <f t="shared" si="11"/>
        <v>6.9827432669761826</v>
      </c>
      <c r="G88" s="3">
        <f t="shared" si="12"/>
        <v>0.685722354068247</v>
      </c>
      <c r="H88" s="3">
        <f t="shared" si="13"/>
        <v>828.65184829498014</v>
      </c>
    </row>
    <row r="89" spans="1:8" x14ac:dyDescent="0.2">
      <c r="A89" s="1">
        <v>2023</v>
      </c>
      <c r="B89" s="1" t="s">
        <v>4</v>
      </c>
      <c r="C89" s="1" t="str">
        <f t="shared" si="9"/>
        <v>23-Apr</v>
      </c>
      <c r="D89" s="4">
        <v>481</v>
      </c>
      <c r="E89" s="3">
        <f t="shared" si="10"/>
        <v>1318.7104561791421</v>
      </c>
      <c r="F89" s="3">
        <f t="shared" si="11"/>
        <v>7.5765638234798738</v>
      </c>
      <c r="G89" s="3">
        <f t="shared" si="12"/>
        <v>0.36247131932009263</v>
      </c>
      <c r="H89" s="3">
        <f t="shared" si="13"/>
        <v>475.63342652224077</v>
      </c>
    </row>
    <row r="90" spans="1:8" x14ac:dyDescent="0.2">
      <c r="A90" s="1">
        <v>2023</v>
      </c>
      <c r="B90" s="1" t="s">
        <v>5</v>
      </c>
      <c r="C90" s="1" t="str">
        <f t="shared" si="9"/>
        <v>23-May</v>
      </c>
      <c r="D90" s="4">
        <v>158</v>
      </c>
      <c r="E90" s="3">
        <f t="shared" si="10"/>
        <v>1323.504539090063</v>
      </c>
      <c r="F90" s="3">
        <f t="shared" si="11"/>
        <v>7.0200676409680804</v>
      </c>
      <c r="G90" s="3">
        <f t="shared" si="12"/>
        <v>0.12008872389734662</v>
      </c>
      <c r="H90" s="3">
        <f t="shared" si="13"/>
        <v>159.67494852084209</v>
      </c>
    </row>
    <row r="91" spans="1:8" x14ac:dyDescent="0.2">
      <c r="A91" s="1">
        <v>2023</v>
      </c>
      <c r="B91" s="1" t="s">
        <v>6</v>
      </c>
      <c r="C91" s="1" t="str">
        <f t="shared" si="9"/>
        <v>23-Jun</v>
      </c>
      <c r="D91" s="4">
        <v>82</v>
      </c>
      <c r="E91" s="3">
        <f t="shared" si="10"/>
        <v>1334.2282295997923</v>
      </c>
      <c r="F91" s="3">
        <f t="shared" si="11"/>
        <v>7.7607922147203237</v>
      </c>
      <c r="G91" s="3">
        <f t="shared" si="12"/>
        <v>6.0986314781400985E-2</v>
      </c>
      <c r="H91" s="3">
        <f t="shared" si="13"/>
        <v>80.874397858221897</v>
      </c>
    </row>
    <row r="92" spans="1:8" x14ac:dyDescent="0.2">
      <c r="A92" s="1">
        <v>2023</v>
      </c>
      <c r="B92" s="1" t="s">
        <v>7</v>
      </c>
      <c r="C92" s="1" t="str">
        <f t="shared" si="9"/>
        <v>23-Jul</v>
      </c>
      <c r="D92" s="4">
        <v>84</v>
      </c>
      <c r="E92" s="3">
        <f t="shared" si="10"/>
        <v>1354.5891373228731</v>
      </c>
      <c r="F92" s="3">
        <f t="shared" si="11"/>
        <v>10.28081531639242</v>
      </c>
      <c r="G92" s="3">
        <f t="shared" si="12"/>
        <v>6.0454270515766198E-2</v>
      </c>
      <c r="H92" s="3">
        <f t="shared" si="13"/>
        <v>80.233389545420238</v>
      </c>
    </row>
    <row r="93" spans="1:8" x14ac:dyDescent="0.2">
      <c r="A93" s="1">
        <v>2023</v>
      </c>
      <c r="B93" s="1" t="s">
        <v>8</v>
      </c>
      <c r="C93" s="1" t="str">
        <f t="shared" si="9"/>
        <v>23-Aug</v>
      </c>
      <c r="D93" s="4">
        <v>168</v>
      </c>
      <c r="E93" s="3">
        <f t="shared" si="10"/>
        <v>1375.8718526564612</v>
      </c>
      <c r="F93" s="3">
        <f t="shared" si="11"/>
        <v>12.481195319831567</v>
      </c>
      <c r="G93" s="3">
        <f t="shared" si="12"/>
        <v>0.11945525099852755</v>
      </c>
      <c r="H93" s="3">
        <f t="shared" si="13"/>
        <v>161.49128125158336</v>
      </c>
    </row>
    <row r="94" spans="1:8" x14ac:dyDescent="0.2">
      <c r="A94" s="1">
        <v>2023</v>
      </c>
      <c r="B94" s="1" t="s">
        <v>9</v>
      </c>
      <c r="C94" s="1" t="str">
        <f t="shared" si="9"/>
        <v>23-Sep</v>
      </c>
      <c r="D94" s="3">
        <v>2773</v>
      </c>
      <c r="E94" s="3">
        <f t="shared" si="10"/>
        <v>1376.3035937317929</v>
      </c>
      <c r="F94" s="3">
        <f t="shared" si="11"/>
        <v>10.071304470931601</v>
      </c>
      <c r="G94" s="3">
        <f t="shared" si="12"/>
        <v>2.0660003987934727</v>
      </c>
      <c r="H94" s="3">
        <f t="shared" si="13"/>
        <v>2898.7924526978109</v>
      </c>
    </row>
    <row r="95" spans="1:8" x14ac:dyDescent="0.2">
      <c r="A95" s="1">
        <v>2023</v>
      </c>
      <c r="B95" s="1" t="s">
        <v>10</v>
      </c>
      <c r="C95" s="1" t="str">
        <f t="shared" si="9"/>
        <v>23-Oct</v>
      </c>
      <c r="D95" s="3">
        <v>2804</v>
      </c>
      <c r="E95" s="3">
        <f t="shared" si="10"/>
        <v>1394.2533722530743</v>
      </c>
      <c r="F95" s="3">
        <f t="shared" si="11"/>
        <v>11.646999281001554</v>
      </c>
      <c r="G95" s="3">
        <f t="shared" si="12"/>
        <v>1.9799959341338442</v>
      </c>
      <c r="H95" s="3">
        <f t="shared" si="13"/>
        <v>2726.5285860955155</v>
      </c>
    </row>
    <row r="96" spans="1:8" x14ac:dyDescent="0.2">
      <c r="A96" s="1">
        <v>2023</v>
      </c>
      <c r="B96" s="1" t="s">
        <v>11</v>
      </c>
      <c r="C96" s="1" t="str">
        <f t="shared" si="9"/>
        <v>23-Nov</v>
      </c>
      <c r="D96" s="3">
        <v>2000</v>
      </c>
      <c r="E96" s="3">
        <f t="shared" si="10"/>
        <v>1352.9841713370611</v>
      </c>
      <c r="F96" s="3">
        <f t="shared" si="11"/>
        <v>1.0637592415985964</v>
      </c>
      <c r="G96" s="3">
        <f t="shared" si="12"/>
        <v>1.6701146886560845</v>
      </c>
      <c r="H96" s="3">
        <f t="shared" si="13"/>
        <v>2463.6406036950116</v>
      </c>
    </row>
    <row r="97" spans="1:8" x14ac:dyDescent="0.2">
      <c r="A97" s="1">
        <v>2023</v>
      </c>
      <c r="B97" s="1" t="s">
        <v>12</v>
      </c>
      <c r="C97" s="1" t="str">
        <f t="shared" si="9"/>
        <v>23-Dec</v>
      </c>
      <c r="D97" s="3">
        <v>3650</v>
      </c>
      <c r="E97" s="3">
        <f t="shared" si="10"/>
        <v>1411.3367283456294</v>
      </c>
      <c r="F97" s="3">
        <f t="shared" si="11"/>
        <v>12.521518794992534</v>
      </c>
      <c r="G97" s="3">
        <f t="shared" si="12"/>
        <v>2.3333198705048726</v>
      </c>
      <c r="H97" s="3">
        <f t="shared" si="13"/>
        <v>3012.678628968205</v>
      </c>
    </row>
    <row r="98" spans="1:8" x14ac:dyDescent="0.2">
      <c r="A98" s="1">
        <v>2024</v>
      </c>
      <c r="B98" s="1" t="s">
        <v>1</v>
      </c>
      <c r="C98" s="1" t="str">
        <f t="shared" si="9"/>
        <v>24-Jan</v>
      </c>
      <c r="D98" s="3">
        <v>1520</v>
      </c>
      <c r="E98" s="3">
        <f t="shared" si="10"/>
        <v>1393.9047821267</v>
      </c>
      <c r="F98" s="3">
        <f t="shared" si="11"/>
        <v>6.5308257922081481</v>
      </c>
      <c r="G98" s="3">
        <f t="shared" si="12"/>
        <v>1.162243793576013</v>
      </c>
      <c r="H98" s="3">
        <f t="shared" si="13"/>
        <v>1698.6735390405033</v>
      </c>
    </row>
    <row r="99" spans="1:8" x14ac:dyDescent="0.2">
      <c r="A99" s="1">
        <v>2024</v>
      </c>
      <c r="B99" s="1" t="s">
        <v>2</v>
      </c>
      <c r="C99" s="1" t="str">
        <f t="shared" si="9"/>
        <v>24-Feb</v>
      </c>
      <c r="D99" s="3">
        <v>1340</v>
      </c>
      <c r="E99" s="3">
        <f t="shared" si="10"/>
        <v>1393.0922478794619</v>
      </c>
      <c r="F99" s="3">
        <f t="shared" si="11"/>
        <v>5.0621537843189</v>
      </c>
      <c r="G99" s="3">
        <f t="shared" si="12"/>
        <v>0.97639175793243838</v>
      </c>
      <c r="H99" s="3">
        <f t="shared" si="13"/>
        <v>1376.0781944090716</v>
      </c>
    </row>
    <row r="100" spans="1:8" x14ac:dyDescent="0.2">
      <c r="A100" s="1">
        <v>2024</v>
      </c>
      <c r="B100" s="1" t="s">
        <v>3</v>
      </c>
      <c r="C100" s="1" t="str">
        <f t="shared" si="9"/>
        <v>24-Mar</v>
      </c>
      <c r="D100" s="4">
        <v>1014</v>
      </c>
      <c r="E100" s="3">
        <f t="shared" si="10"/>
        <v>1414.2700414740975</v>
      </c>
      <c r="F100" s="3">
        <f t="shared" si="11"/>
        <v>8.2852817463822532</v>
      </c>
      <c r="G100" s="3">
        <f t="shared" si="12"/>
        <v>0.69509894055652</v>
      </c>
      <c r="H100" s="3">
        <f t="shared" si="13"/>
        <v>958.74572765976916</v>
      </c>
    </row>
    <row r="101" spans="1:8" x14ac:dyDescent="0.2">
      <c r="A101" s="1">
        <v>2024</v>
      </c>
      <c r="B101" s="1" t="s">
        <v>4</v>
      </c>
      <c r="C101" s="1" t="str">
        <f t="shared" si="9"/>
        <v>24-Apr</v>
      </c>
      <c r="D101" s="4">
        <v>515</v>
      </c>
      <c r="E101" s="3">
        <f t="shared" si="10"/>
        <v>1422.2046721318693</v>
      </c>
      <c r="F101" s="3">
        <f t="shared" si="11"/>
        <v>8.215151528660158</v>
      </c>
      <c r="G101" s="3">
        <f t="shared" si="12"/>
        <v>0.36236407655944064</v>
      </c>
      <c r="H101" s="3">
        <f t="shared" si="13"/>
        <v>515.6355048135481</v>
      </c>
    </row>
    <row r="102" spans="1:8" x14ac:dyDescent="0.2">
      <c r="A102" s="1">
        <v>2024</v>
      </c>
      <c r="B102" s="1" t="s">
        <v>5</v>
      </c>
      <c r="C102" s="1" t="str">
        <f t="shared" si="9"/>
        <v>24-May</v>
      </c>
      <c r="D102" s="4">
        <v>187</v>
      </c>
      <c r="E102" s="3">
        <f t="shared" si="10"/>
        <v>1455.7722601676439</v>
      </c>
      <c r="F102" s="3">
        <f t="shared" si="11"/>
        <v>13.285638830083053</v>
      </c>
      <c r="G102" s="3">
        <f t="shared" si="12"/>
        <v>0.12259835414471287</v>
      </c>
      <c r="H102" s="3">
        <f t="shared" si="13"/>
        <v>171.77729126086055</v>
      </c>
    </row>
    <row r="103" spans="1:8" x14ac:dyDescent="0.2">
      <c r="A103" s="1">
        <v>2024</v>
      </c>
      <c r="B103" s="1" t="s">
        <v>6</v>
      </c>
      <c r="C103" s="1" t="str">
        <f t="shared" si="9"/>
        <v>24-Jun</v>
      </c>
      <c r="D103" s="4">
        <v>90</v>
      </c>
      <c r="E103" s="3">
        <f t="shared" si="10"/>
        <v>1470.3945022703858</v>
      </c>
      <c r="F103" s="3">
        <f t="shared" si="11"/>
        <v>13.552959484614822</v>
      </c>
      <c r="G103" s="3">
        <f t="shared" si="12"/>
        <v>6.1052839383715543E-2</v>
      </c>
      <c r="H103" s="3">
        <f t="shared" si="13"/>
        <v>89.592427460378957</v>
      </c>
    </row>
    <row r="104" spans="1:8" x14ac:dyDescent="0.2">
      <c r="A104" s="1">
        <v>2024</v>
      </c>
      <c r="B104" s="1" t="s">
        <v>7</v>
      </c>
      <c r="C104" s="1" t="str">
        <f t="shared" si="9"/>
        <v>24-Jul</v>
      </c>
      <c r="D104" s="4">
        <v>78</v>
      </c>
      <c r="E104" s="3">
        <f t="shared" si="10"/>
        <v>1445.2042557442119</v>
      </c>
      <c r="F104" s="3">
        <f t="shared" si="11"/>
        <v>5.8043182824570687</v>
      </c>
      <c r="G104" s="3">
        <f t="shared" si="12"/>
        <v>5.8509472265264359E-2</v>
      </c>
      <c r="H104" s="3">
        <f t="shared" si="13"/>
        <v>89.710961284121424</v>
      </c>
    </row>
    <row r="105" spans="1:8" x14ac:dyDescent="0.2">
      <c r="A105" s="1">
        <v>2024</v>
      </c>
      <c r="B105" s="1" t="s">
        <v>8</v>
      </c>
      <c r="C105" s="1" t="str">
        <f t="shared" si="9"/>
        <v>24-Aug</v>
      </c>
      <c r="D105" s="4">
        <v>169</v>
      </c>
      <c r="E105" s="3">
        <f t="shared" si="10"/>
        <v>1443.7580038337778</v>
      </c>
      <c r="F105" s="3">
        <f t="shared" si="11"/>
        <v>4.3542042438788444</v>
      </c>
      <c r="G105" s="3">
        <f t="shared" si="12"/>
        <v>0.11873536413662325</v>
      </c>
      <c r="H105" s="3">
        <f t="shared" si="13"/>
        <v>173.33059341137127</v>
      </c>
    </row>
    <row r="106" spans="1:8" x14ac:dyDescent="0.2">
      <c r="A106" s="1">
        <v>2024</v>
      </c>
      <c r="B106" s="1" t="s">
        <v>9</v>
      </c>
      <c r="C106" s="1" t="str">
        <f t="shared" si="9"/>
        <v>24-Sep</v>
      </c>
      <c r="D106" s="3">
        <v>3058</v>
      </c>
      <c r="E106" s="3">
        <f t="shared" si="10"/>
        <v>1454.5206870549625</v>
      </c>
      <c r="F106" s="3">
        <f t="shared" si="11"/>
        <v>5.6359000393400187</v>
      </c>
      <c r="G106" s="3">
        <f t="shared" si="12"/>
        <v>2.076923518889823</v>
      </c>
      <c r="H106" s="3">
        <f t="shared" si="13"/>
        <v>2991.8003993861353</v>
      </c>
    </row>
    <row r="107" spans="1:8" x14ac:dyDescent="0.2">
      <c r="A107" s="1">
        <v>2024</v>
      </c>
      <c r="B107" s="1" t="s">
        <v>10</v>
      </c>
      <c r="C107" s="1" t="str">
        <f t="shared" si="9"/>
        <v>24-Oct</v>
      </c>
      <c r="D107" s="3">
        <v>3302</v>
      </c>
      <c r="E107" s="3">
        <f t="shared" si="10"/>
        <v>1501.6613081162959</v>
      </c>
      <c r="F107" s="3">
        <f t="shared" si="11"/>
        <v>13.93684424373869</v>
      </c>
      <c r="G107" s="3">
        <f t="shared" si="12"/>
        <v>2.0456665444852495</v>
      </c>
      <c r="H107" s="3">
        <f t="shared" si="13"/>
        <v>2891.1041056454692</v>
      </c>
    </row>
    <row r="108" spans="1:8" x14ac:dyDescent="0.2">
      <c r="A108" s="1">
        <v>2024</v>
      </c>
      <c r="B108" s="1" t="s">
        <v>11</v>
      </c>
      <c r="C108" s="1" t="str">
        <f t="shared" si="9"/>
        <v>24-Nov</v>
      </c>
      <c r="D108" s="3">
        <v>2279</v>
      </c>
      <c r="E108" s="3">
        <f t="shared" si="10"/>
        <v>1485.3939109304265</v>
      </c>
      <c r="F108" s="3">
        <f t="shared" si="11"/>
        <v>7.8959959578170693</v>
      </c>
      <c r="G108" s="3">
        <f t="shared" si="12"/>
        <v>1.6293622281268454</v>
      </c>
      <c r="H108" s="3">
        <f t="shared" si="13"/>
        <v>2531.2227363565162</v>
      </c>
    </row>
    <row r="109" spans="1:8" x14ac:dyDescent="0.2">
      <c r="A109" s="1">
        <v>2024</v>
      </c>
      <c r="B109" s="1" t="s">
        <v>12</v>
      </c>
      <c r="C109" s="1" t="str">
        <f t="shared" si="9"/>
        <v>24-Dec</v>
      </c>
      <c r="D109" s="3">
        <v>3267</v>
      </c>
      <c r="E109" s="3">
        <f t="shared" si="10"/>
        <v>1474.662112652755</v>
      </c>
      <c r="F109" s="3">
        <f t="shared" si="11"/>
        <v>4.1704371107193587</v>
      </c>
      <c r="G109" s="3">
        <f t="shared" si="12"/>
        <v>2.2979507357908973</v>
      </c>
      <c r="H109" s="3">
        <f t="shared" si="13"/>
        <v>3484.3230121667098</v>
      </c>
    </row>
    <row r="110" spans="1:8" x14ac:dyDescent="0.2">
      <c r="A110" s="1">
        <v>2025</v>
      </c>
      <c r="B110" s="1" t="s">
        <v>1</v>
      </c>
      <c r="C110" s="1" t="str">
        <f t="shared" si="9"/>
        <v>25-Jan</v>
      </c>
      <c r="D110" s="3">
        <v>1772</v>
      </c>
      <c r="E110" s="3">
        <f t="shared" ref="E110:E121" si="14">$Q$2*(D110/G98)+(1-$Q$2)*(E109+F109)</f>
        <v>1487.993458618133</v>
      </c>
      <c r="F110" s="3">
        <f t="shared" ref="F110:F121" si="15">$R$2*(E110-E109)+(1-$R$2)*F109</f>
        <v>6.0026188816510828</v>
      </c>
      <c r="G110" s="3">
        <f t="shared" ref="G110:G121" si="16">$S$2*(D110/E110)+(1-$S$2)*G98</f>
        <v>1.1708302905648345</v>
      </c>
      <c r="H110" s="3">
        <f t="shared" si="13"/>
        <v>1718.7639527007886</v>
      </c>
    </row>
    <row r="111" spans="1:8" x14ac:dyDescent="0.2">
      <c r="A111" s="1">
        <v>2025</v>
      </c>
      <c r="B111" s="1" t="s">
        <v>2</v>
      </c>
      <c r="C111" s="1" t="str">
        <f t="shared" si="9"/>
        <v>25-Feb</v>
      </c>
      <c r="D111" s="3">
        <v>1320</v>
      </c>
      <c r="E111" s="3">
        <f t="shared" si="14"/>
        <v>1465.5801357782073</v>
      </c>
      <c r="F111" s="3">
        <f t="shared" si="15"/>
        <v>0.3194305373357178</v>
      </c>
      <c r="G111" s="3">
        <f t="shared" si="16"/>
        <v>0.9536743993000325</v>
      </c>
      <c r="H111" s="3">
        <f t="shared" si="13"/>
        <v>1458.7254564541818</v>
      </c>
    </row>
    <row r="112" spans="1:8" x14ac:dyDescent="0.2">
      <c r="A112" s="1">
        <v>2025</v>
      </c>
      <c r="B112" s="1" t="s">
        <v>3</v>
      </c>
      <c r="C112" s="1" t="str">
        <f t="shared" si="9"/>
        <v>25-Mar</v>
      </c>
      <c r="D112" s="3">
        <v>998</v>
      </c>
      <c r="E112" s="3">
        <f t="shared" si="14"/>
        <v>1459.8730183563628</v>
      </c>
      <c r="F112" s="3">
        <f t="shared" si="15"/>
        <v>-0.885879054500323</v>
      </c>
      <c r="G112" s="3">
        <f t="shared" si="16"/>
        <v>0.69165558866306098</v>
      </c>
      <c r="H112" s="3">
        <f t="shared" si="13"/>
        <v>1018.945235508196</v>
      </c>
    </row>
    <row r="113" spans="1:10" x14ac:dyDescent="0.2">
      <c r="A113" s="1">
        <v>2025</v>
      </c>
      <c r="B113" s="1" t="s">
        <v>4</v>
      </c>
      <c r="C113" s="1" t="str">
        <f t="shared" si="9"/>
        <v>25-Apr</v>
      </c>
      <c r="D113" s="4">
        <v>501</v>
      </c>
      <c r="E113" s="3">
        <f t="shared" si="14"/>
        <v>1443.7071878739632</v>
      </c>
      <c r="F113" s="3">
        <f t="shared" si="15"/>
        <v>-3.9418693400801672</v>
      </c>
      <c r="G113" s="3">
        <f t="shared" si="16"/>
        <v>0.35776183682366902</v>
      </c>
      <c r="H113" s="3">
        <f t="shared" si="13"/>
        <v>528.68452744521937</v>
      </c>
    </row>
    <row r="114" spans="1:10" x14ac:dyDescent="0.2">
      <c r="A114" s="1">
        <v>2025</v>
      </c>
      <c r="B114" s="1" t="s">
        <v>5</v>
      </c>
      <c r="C114" s="1" t="str">
        <f t="shared" si="9"/>
        <v>25-May</v>
      </c>
      <c r="D114" s="4">
        <v>175</v>
      </c>
      <c r="E114" s="3">
        <f t="shared" si="14"/>
        <v>1437.297327152683</v>
      </c>
      <c r="F114" s="3">
        <f t="shared" si="15"/>
        <v>-4.4354676163201763</v>
      </c>
      <c r="G114" s="3">
        <f t="shared" si="16"/>
        <v>0.12234573695076495</v>
      </c>
      <c r="H114" s="3">
        <f t="shared" si="13"/>
        <v>176.51285840689235</v>
      </c>
    </row>
    <row r="115" spans="1:10" x14ac:dyDescent="0.2">
      <c r="A115" s="1">
        <v>2025</v>
      </c>
      <c r="B115" s="1" t="s">
        <v>6</v>
      </c>
      <c r="C115" s="1" t="str">
        <f t="shared" si="9"/>
        <v>25-Jun</v>
      </c>
      <c r="D115" s="4">
        <v>90</v>
      </c>
      <c r="E115" s="3">
        <f t="shared" si="14"/>
        <v>1441.1160703351043</v>
      </c>
      <c r="F115" s="3">
        <f t="shared" si="15"/>
        <v>-2.7846254565718898</v>
      </c>
      <c r="G115" s="3">
        <f t="shared" si="16"/>
        <v>6.1472466657194802E-2</v>
      </c>
      <c r="H115" s="3">
        <f t="shared" si="13"/>
        <v>87.480284969325538</v>
      </c>
    </row>
    <row r="116" spans="1:10" x14ac:dyDescent="0.2">
      <c r="A116" s="1">
        <v>2025</v>
      </c>
      <c r="B116" s="1" t="s">
        <v>7</v>
      </c>
      <c r="C116" s="1" t="str">
        <f t="shared" si="9"/>
        <v>25-Jul</v>
      </c>
      <c r="D116" s="4">
        <v>84</v>
      </c>
      <c r="E116" s="3">
        <f t="shared" si="14"/>
        <v>1437.7981507764398</v>
      </c>
      <c r="F116" s="3">
        <f t="shared" si="15"/>
        <v>-2.8912842769904059</v>
      </c>
      <c r="G116" s="3">
        <f t="shared" si="16"/>
        <v>5.848343014819074E-2</v>
      </c>
      <c r="H116" s="3">
        <f t="shared" si="13"/>
        <v>84.15601378237811</v>
      </c>
    </row>
    <row r="117" spans="1:10" x14ac:dyDescent="0.2">
      <c r="A117" s="1">
        <v>2025</v>
      </c>
      <c r="B117" s="1" t="s">
        <v>8</v>
      </c>
      <c r="C117" s="1" t="str">
        <f t="shared" si="9"/>
        <v>25-Aug</v>
      </c>
      <c r="D117" s="4">
        <v>182</v>
      </c>
      <c r="E117" s="3">
        <f t="shared" si="14"/>
        <v>1454.4895928229557</v>
      </c>
      <c r="F117" s="3">
        <f t="shared" si="15"/>
        <v>1.0252609877108614</v>
      </c>
      <c r="G117" s="3">
        <f t="shared" si="16"/>
        <v>0.12065369657622213</v>
      </c>
      <c r="H117" s="3">
        <f t="shared" si="13"/>
        <v>170.37418929595316</v>
      </c>
    </row>
    <row r="118" spans="1:10" x14ac:dyDescent="0.2">
      <c r="A118" s="1">
        <v>2025</v>
      </c>
      <c r="B118" s="1" t="s">
        <v>9</v>
      </c>
      <c r="C118" s="1" t="str">
        <f t="shared" si="9"/>
        <v>25-Sep</v>
      </c>
      <c r="D118" s="3">
        <v>3076</v>
      </c>
      <c r="E118" s="3">
        <f t="shared" si="14"/>
        <v>1460.6192274233722</v>
      </c>
      <c r="F118" s="3">
        <f t="shared" si="15"/>
        <v>2.0461357102519826</v>
      </c>
      <c r="G118" s="3">
        <f t="shared" si="16"/>
        <v>2.0856332990211968</v>
      </c>
      <c r="H118" s="3">
        <f t="shared" si="13"/>
        <v>3022.993031972856</v>
      </c>
    </row>
    <row r="119" spans="1:10" x14ac:dyDescent="0.2">
      <c r="A119" s="1">
        <v>2025</v>
      </c>
      <c r="B119" s="1" t="s">
        <v>10</v>
      </c>
      <c r="C119" s="1" t="str">
        <f t="shared" si="9"/>
        <v>25-Oct</v>
      </c>
      <c r="D119" s="3">
        <v>2801</v>
      </c>
      <c r="E119" s="3">
        <f t="shared" si="14"/>
        <v>1443.9794634541222</v>
      </c>
      <c r="F119" s="3">
        <f t="shared" si="15"/>
        <v>-1.6910442256484135</v>
      </c>
      <c r="G119" s="3">
        <f t="shared" si="16"/>
        <v>2.0139000651450019</v>
      </c>
      <c r="H119" s="3">
        <f t="shared" si="13"/>
        <v>2992.1255991398239</v>
      </c>
    </row>
    <row r="120" spans="1:10" x14ac:dyDescent="0.2">
      <c r="A120" s="1">
        <v>2025</v>
      </c>
      <c r="B120" s="1" t="s">
        <v>11</v>
      </c>
      <c r="C120" s="1" t="str">
        <f t="shared" si="9"/>
        <v>25-Nov</v>
      </c>
      <c r="D120" s="3">
        <v>2576</v>
      </c>
      <c r="E120" s="3">
        <f t="shared" si="14"/>
        <v>1470.0280738912866</v>
      </c>
      <c r="F120" s="3">
        <f t="shared" si="15"/>
        <v>3.8568867069141435</v>
      </c>
      <c r="G120" s="3">
        <f t="shared" si="16"/>
        <v>1.6662578055637254</v>
      </c>
      <c r="H120" s="3">
        <f t="shared" si="13"/>
        <v>2350.0102723556515</v>
      </c>
    </row>
    <row r="121" spans="1:10" x14ac:dyDescent="0.2">
      <c r="A121" s="1">
        <v>2025</v>
      </c>
      <c r="B121" s="1" t="s">
        <v>12</v>
      </c>
      <c r="C121" s="1" t="str">
        <f t="shared" si="9"/>
        <v>25-Dec</v>
      </c>
      <c r="D121" s="3">
        <v>3708</v>
      </c>
      <c r="E121" s="3">
        <f t="shared" si="14"/>
        <v>1501.8302916552409</v>
      </c>
      <c r="F121" s="3">
        <f t="shared" si="15"/>
        <v>9.4459529183221811</v>
      </c>
      <c r="G121" s="3">
        <f t="shared" si="16"/>
        <v>2.3492617216629443</v>
      </c>
      <c r="H121" s="3">
        <f t="shared" si="13"/>
        <v>3386.915029677773</v>
      </c>
    </row>
    <row r="122" spans="1:10" x14ac:dyDescent="0.2">
      <c r="C122" s="57">
        <v>46048</v>
      </c>
      <c r="D122" s="3">
        <v>1845</v>
      </c>
      <c r="E122" s="3">
        <f t="shared" ref="E122:E124" si="17">$Q$2*(D122/G110)+(1-$Q$2)*(E121+F121)</f>
        <v>1524.1819570497505</v>
      </c>
      <c r="F122" s="3">
        <f t="shared" ref="F122:F125" si="18">$R$2*(E122-E121)+(1-$R$2)*F121</f>
        <v>12.027095413559667</v>
      </c>
      <c r="G122" s="3">
        <f t="shared" ref="G122:G125" si="19">$S$2*(D122/E122)+(1-$S$2)*G110</f>
        <v>1.182726822223841</v>
      </c>
      <c r="H122" s="3">
        <f t="shared" ref="H122:H125" si="20">(E121+1*F121)*G110</f>
        <v>1769.4480045577968</v>
      </c>
    </row>
    <row r="123" spans="1:10" x14ac:dyDescent="0.2">
      <c r="C123" s="57">
        <v>46079</v>
      </c>
      <c r="D123" s="3">
        <v>1414</v>
      </c>
      <c r="E123" s="3">
        <f t="shared" si="17"/>
        <v>1525.5045089955013</v>
      </c>
      <c r="F123" s="3">
        <f t="shared" si="18"/>
        <v>9.8861867199978892</v>
      </c>
      <c r="G123" s="3">
        <f t="shared" si="19"/>
        <v>0.94564402062760289</v>
      </c>
      <c r="H123" s="3">
        <f t="shared" si="20"/>
        <v>1465.0432453072194</v>
      </c>
    </row>
    <row r="124" spans="1:10" x14ac:dyDescent="0.2">
      <c r="C124" s="57">
        <v>46107</v>
      </c>
      <c r="D124" s="3">
        <v>1049</v>
      </c>
      <c r="E124" s="3">
        <f t="shared" si="17"/>
        <v>1531.6427160315802</v>
      </c>
      <c r="F124" s="3">
        <f t="shared" si="18"/>
        <v>9.1365907832140998</v>
      </c>
      <c r="G124" s="3">
        <f t="shared" si="19"/>
        <v>0.68962458412072647</v>
      </c>
      <c r="H124" s="3">
        <f t="shared" si="20"/>
        <v>1061.9615554728903</v>
      </c>
    </row>
    <row r="125" spans="1:10" x14ac:dyDescent="0.2">
      <c r="C125" s="57">
        <v>46138</v>
      </c>
      <c r="D125" s="3">
        <v>527</v>
      </c>
      <c r="E125" s="3">
        <f>$Q$2*(D125/G113)+(1-$Q$2)*(E124+F124)</f>
        <v>1527.2328452016159</v>
      </c>
      <c r="F125" s="3">
        <f t="shared" si="18"/>
        <v>6.4272984605784105</v>
      </c>
      <c r="G125" s="3">
        <f t="shared" si="19"/>
        <v>0.35395384617882225</v>
      </c>
      <c r="H125" s="3">
        <f t="shared" si="20"/>
        <v>551.23203494596032</v>
      </c>
      <c r="I125" s="64" t="s">
        <v>47</v>
      </c>
      <c r="J125" s="64"/>
    </row>
    <row r="126" spans="1:10" x14ac:dyDescent="0.2">
      <c r="C126" s="57">
        <v>46168</v>
      </c>
      <c r="H126" s="3">
        <f>($E$125+I126*$F$125)*G114</f>
        <v>187.6367805083672</v>
      </c>
      <c r="I126" s="64">
        <v>1</v>
      </c>
      <c r="J126" s="64"/>
    </row>
    <row r="127" spans="1:10" x14ac:dyDescent="0.2">
      <c r="C127" s="57">
        <v>46199</v>
      </c>
      <c r="H127" s="3">
        <f t="shared" ref="H127:H131" si="21">($E$125+I127*$F$125)*G115</f>
        <v>94.672973935056575</v>
      </c>
      <c r="I127" s="64">
        <v>2</v>
      </c>
      <c r="J127" s="64"/>
    </row>
    <row r="128" spans="1:10" x14ac:dyDescent="0.2">
      <c r="C128" s="57">
        <v>46229</v>
      </c>
      <c r="H128" s="3">
        <f t="shared" si="21"/>
        <v>90.445486804053743</v>
      </c>
      <c r="I128" s="64">
        <v>3</v>
      </c>
      <c r="J128" s="64"/>
    </row>
    <row r="129" spans="3:10" x14ac:dyDescent="0.2">
      <c r="C129" s="57">
        <v>46260</v>
      </c>
      <c r="H129" s="3">
        <f t="shared" si="21"/>
        <v>187.36819757926597</v>
      </c>
      <c r="I129" s="64">
        <v>4</v>
      </c>
      <c r="J129" s="64"/>
    </row>
    <row r="130" spans="3:10" x14ac:dyDescent="0.2">
      <c r="C130" s="57">
        <v>46291</v>
      </c>
      <c r="H130" s="3">
        <f t="shared" si="21"/>
        <v>3252.2726157720249</v>
      </c>
      <c r="I130" s="64">
        <v>5</v>
      </c>
      <c r="J130" s="64"/>
    </row>
    <row r="131" spans="3:10" x14ac:dyDescent="0.2">
      <c r="C131" s="57">
        <v>46321</v>
      </c>
      <c r="H131" s="3">
        <f t="shared" si="21"/>
        <v>3153.3579471739122</v>
      </c>
      <c r="I131" s="64">
        <v>6</v>
      </c>
      <c r="J131" s="64"/>
    </row>
    <row r="132" spans="3:10" x14ac:dyDescent="0.2">
      <c r="C132" s="57">
        <v>46352</v>
      </c>
      <c r="H132" s="3">
        <f>($E$125+I132*$F$125)*G120</f>
        <v>2619.7304028308745</v>
      </c>
      <c r="I132" s="64">
        <v>7</v>
      </c>
      <c r="J132" s="64"/>
    </row>
    <row r="133" spans="3:10" x14ac:dyDescent="0.2">
      <c r="C133" s="57">
        <v>46382</v>
      </c>
      <c r="H133" s="3">
        <f t="shared" ref="H133:H137" si="22">($E$125+I133*$F$125)*G121</f>
        <v>3708.6649132756652</v>
      </c>
      <c r="I133" s="64">
        <v>8</v>
      </c>
      <c r="J133" s="64"/>
    </row>
    <row r="134" spans="3:10" x14ac:dyDescent="0.2">
      <c r="C134" s="57">
        <v>46049</v>
      </c>
      <c r="H134" s="3">
        <f t="shared" si="22"/>
        <v>1874.7148943550592</v>
      </c>
      <c r="I134" s="64">
        <v>9</v>
      </c>
      <c r="J134" s="64"/>
    </row>
    <row r="135" spans="3:10" x14ac:dyDescent="0.2">
      <c r="C135" s="57">
        <v>46080</v>
      </c>
      <c r="H135" s="3">
        <f t="shared" si="22"/>
        <v>1504.9979717513393</v>
      </c>
      <c r="I135" s="64">
        <v>10</v>
      </c>
      <c r="J135" s="64"/>
    </row>
    <row r="136" spans="3:10" x14ac:dyDescent="0.2">
      <c r="C136" s="57">
        <v>46108</v>
      </c>
      <c r="H136" s="3">
        <f t="shared" si="22"/>
        <v>1101.9739690345361</v>
      </c>
      <c r="I136" s="64">
        <v>11</v>
      </c>
      <c r="J136" s="64"/>
    </row>
    <row r="137" spans="3:10" x14ac:dyDescent="0.2">
      <c r="C137" s="57">
        <v>46139</v>
      </c>
      <c r="H137" s="3">
        <f t="shared" si="22"/>
        <v>567.8695436976692</v>
      </c>
      <c r="I137" s="64">
        <v>12</v>
      </c>
      <c r="J137" s="64"/>
    </row>
  </sheetData>
  <mergeCells count="13">
    <mergeCell ref="I137:J137"/>
    <mergeCell ref="I132:J132"/>
    <mergeCell ref="I125:J125"/>
    <mergeCell ref="I126:J126"/>
    <mergeCell ref="I127:J127"/>
    <mergeCell ref="I128:J128"/>
    <mergeCell ref="I129:J129"/>
    <mergeCell ref="I130:J130"/>
    <mergeCell ref="I131:J131"/>
    <mergeCell ref="I133:J133"/>
    <mergeCell ref="I134:J134"/>
    <mergeCell ref="I135:J135"/>
    <mergeCell ref="I136:J136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D69D-ADDA-3C46-A85F-3A897FFCE4F4}">
  <dimension ref="A1:S137"/>
  <sheetViews>
    <sheetView tabSelected="1" topLeftCell="G103" zoomScale="75" workbookViewId="0">
      <selection activeCell="O120" sqref="O120"/>
    </sheetView>
  </sheetViews>
  <sheetFormatPr baseColWidth="10" defaultRowHeight="16" x14ac:dyDescent="0.2"/>
  <cols>
    <col min="1" max="1" width="0" hidden="1" customWidth="1"/>
    <col min="2" max="2" width="10.33203125" hidden="1" customWidth="1"/>
    <col min="3" max="3" width="23" customWidth="1"/>
    <col min="4" max="4" width="12.6640625" customWidth="1"/>
    <col min="5" max="6" width="10.83203125" customWidth="1"/>
    <col min="7" max="7" width="15.1640625" customWidth="1"/>
    <col min="10" max="10" width="25" bestFit="1" customWidth="1"/>
    <col min="11" max="11" width="25" customWidth="1"/>
    <col min="12" max="12" width="6.83203125" customWidth="1"/>
    <col min="13" max="13" width="13.6640625" customWidth="1"/>
  </cols>
  <sheetData>
    <row r="1" spans="1:16" s="32" customFormat="1" ht="17" thickBot="1" x14ac:dyDescent="0.25">
      <c r="A1" s="31" t="s">
        <v>24</v>
      </c>
      <c r="B1" s="31" t="s">
        <v>0</v>
      </c>
      <c r="C1" s="31" t="s">
        <v>26</v>
      </c>
      <c r="D1" s="31" t="s">
        <v>48</v>
      </c>
      <c r="E1" s="31" t="s">
        <v>30</v>
      </c>
      <c r="F1" s="31" t="s">
        <v>31</v>
      </c>
      <c r="G1" s="31" t="s">
        <v>32</v>
      </c>
      <c r="H1" s="31" t="s">
        <v>41</v>
      </c>
      <c r="I1" s="31" t="s">
        <v>36</v>
      </c>
      <c r="J1" s="31" t="s">
        <v>45</v>
      </c>
      <c r="K1" s="31" t="s">
        <v>46</v>
      </c>
    </row>
    <row r="2" spans="1:16" ht="18" hidden="1" thickTop="1" thickBot="1" x14ac:dyDescent="0.25">
      <c r="A2" s="5">
        <v>2016</v>
      </c>
      <c r="B2" s="1" t="s">
        <v>1</v>
      </c>
      <c r="C2" s="1" t="str">
        <f>RIGHT(A2,2)&amp;"-"&amp; B2</f>
        <v>16-Jan</v>
      </c>
      <c r="D2" s="3">
        <v>1155</v>
      </c>
      <c r="E2" t="s">
        <v>35</v>
      </c>
      <c r="F2" t="s">
        <v>35</v>
      </c>
      <c r="G2">
        <f t="shared" ref="G2:G13" si="0">D2/$N$3</f>
        <v>1.0785992217898834</v>
      </c>
      <c r="H2" t="s">
        <v>35</v>
      </c>
      <c r="M2" s="33" t="s">
        <v>40</v>
      </c>
      <c r="N2" s="34" t="s">
        <v>33</v>
      </c>
      <c r="O2" s="35" t="s">
        <v>34</v>
      </c>
    </row>
    <row r="3" spans="1:16" ht="18" hidden="1" thickTop="1" thickBot="1" x14ac:dyDescent="0.25">
      <c r="A3" s="5">
        <v>2016</v>
      </c>
      <c r="B3" s="1" t="s">
        <v>2</v>
      </c>
      <c r="C3" s="1" t="str">
        <f t="shared" ref="C3:C66" si="1">RIGHT(A3,2)&amp;"-"&amp; B3</f>
        <v>16-Feb</v>
      </c>
      <c r="D3" s="3">
        <v>904</v>
      </c>
      <c r="E3" t="s">
        <v>35</v>
      </c>
      <c r="F3" t="s">
        <v>35</v>
      </c>
      <c r="G3">
        <f t="shared" si="0"/>
        <v>0.84420233463035022</v>
      </c>
      <c r="H3" t="s">
        <v>35</v>
      </c>
      <c r="M3" s="36" t="s">
        <v>39</v>
      </c>
      <c r="N3" s="37">
        <f>AVERAGE(D2:D13)</f>
        <v>1070.8333333333333</v>
      </c>
      <c r="O3" s="9">
        <f>(AVERAGE(D14:D25)-AVERAGE(D2:D13))/2</f>
        <v>50.375</v>
      </c>
    </row>
    <row r="4" spans="1:16" hidden="1" x14ac:dyDescent="0.2">
      <c r="A4" s="5">
        <v>2016</v>
      </c>
      <c r="B4" s="1" t="s">
        <v>3</v>
      </c>
      <c r="C4" s="1" t="str">
        <f t="shared" si="1"/>
        <v>16-Mar</v>
      </c>
      <c r="D4" s="4">
        <v>757</v>
      </c>
      <c r="E4" t="s">
        <v>35</v>
      </c>
      <c r="F4" t="s">
        <v>35</v>
      </c>
      <c r="G4">
        <f t="shared" si="0"/>
        <v>0.7069260700389105</v>
      </c>
      <c r="H4" t="s">
        <v>35</v>
      </c>
    </row>
    <row r="5" spans="1:16" hidden="1" x14ac:dyDescent="0.2">
      <c r="A5" s="5">
        <v>2016</v>
      </c>
      <c r="B5" s="1" t="s">
        <v>4</v>
      </c>
      <c r="C5" s="1" t="str">
        <f t="shared" si="1"/>
        <v>16-Apr</v>
      </c>
      <c r="D5" s="4">
        <v>394</v>
      </c>
      <c r="E5" t="s">
        <v>35</v>
      </c>
      <c r="F5" t="s">
        <v>35</v>
      </c>
      <c r="G5">
        <f t="shared" si="0"/>
        <v>0.36793774319066153</v>
      </c>
      <c r="H5" t="s">
        <v>35</v>
      </c>
      <c r="I5" s="5"/>
      <c r="J5" s="5"/>
      <c r="K5" s="5"/>
      <c r="L5" s="5"/>
    </row>
    <row r="6" spans="1:16" hidden="1" x14ac:dyDescent="0.2">
      <c r="A6" s="5">
        <v>2016</v>
      </c>
      <c r="B6" s="1" t="s">
        <v>5</v>
      </c>
      <c r="C6" s="1" t="str">
        <f t="shared" si="1"/>
        <v>16-May</v>
      </c>
      <c r="D6" s="4">
        <v>130</v>
      </c>
      <c r="E6" t="s">
        <v>35</v>
      </c>
      <c r="F6" t="s">
        <v>35</v>
      </c>
      <c r="G6">
        <f t="shared" si="0"/>
        <v>0.12140077821011674</v>
      </c>
      <c r="H6" t="s">
        <v>35</v>
      </c>
    </row>
    <row r="7" spans="1:16" hidden="1" x14ac:dyDescent="0.2">
      <c r="A7" s="5">
        <v>2016</v>
      </c>
      <c r="B7" s="1" t="s">
        <v>6</v>
      </c>
      <c r="C7" s="1" t="str">
        <f t="shared" si="1"/>
        <v>16-Jun</v>
      </c>
      <c r="D7" s="4">
        <v>67</v>
      </c>
      <c r="E7" t="s">
        <v>35</v>
      </c>
      <c r="F7" t="s">
        <v>35</v>
      </c>
      <c r="G7">
        <f t="shared" si="0"/>
        <v>6.2568093385214019E-2</v>
      </c>
      <c r="H7" t="s">
        <v>35</v>
      </c>
    </row>
    <row r="8" spans="1:16" hidden="1" x14ac:dyDescent="0.2">
      <c r="A8" s="5">
        <v>2016</v>
      </c>
      <c r="B8" s="1" t="s">
        <v>7</v>
      </c>
      <c r="C8" s="1" t="str">
        <f t="shared" si="1"/>
        <v>16-Jul</v>
      </c>
      <c r="D8" s="4">
        <v>72</v>
      </c>
      <c r="E8" t="s">
        <v>35</v>
      </c>
      <c r="F8" t="s">
        <v>35</v>
      </c>
      <c r="G8">
        <f t="shared" si="0"/>
        <v>6.7237354085603121E-2</v>
      </c>
      <c r="H8" t="s">
        <v>35</v>
      </c>
    </row>
    <row r="9" spans="1:16" hidden="1" x14ac:dyDescent="0.2">
      <c r="A9" s="5">
        <v>2016</v>
      </c>
      <c r="B9" s="1" t="s">
        <v>8</v>
      </c>
      <c r="C9" s="1" t="str">
        <f t="shared" si="1"/>
        <v>16-Aug</v>
      </c>
      <c r="D9" s="4">
        <v>123</v>
      </c>
      <c r="E9" t="s">
        <v>35</v>
      </c>
      <c r="F9" t="s">
        <v>35</v>
      </c>
      <c r="G9">
        <f t="shared" si="0"/>
        <v>0.114863813229572</v>
      </c>
      <c r="H9" t="s">
        <v>35</v>
      </c>
    </row>
    <row r="10" spans="1:16" hidden="1" x14ac:dyDescent="0.2">
      <c r="A10" s="5">
        <v>2016</v>
      </c>
      <c r="B10" s="1" t="s">
        <v>9</v>
      </c>
      <c r="C10" s="1" t="str">
        <f t="shared" si="1"/>
        <v>16-Sep</v>
      </c>
      <c r="D10" s="3">
        <v>2187</v>
      </c>
      <c r="E10" t="s">
        <v>35</v>
      </c>
      <c r="F10" t="s">
        <v>35</v>
      </c>
      <c r="G10">
        <f t="shared" si="0"/>
        <v>2.0423346303501946</v>
      </c>
      <c r="H10" t="s">
        <v>35</v>
      </c>
    </row>
    <row r="11" spans="1:16" hidden="1" x14ac:dyDescent="0.2">
      <c r="A11" s="5">
        <v>2016</v>
      </c>
      <c r="B11" s="1" t="s">
        <v>10</v>
      </c>
      <c r="C11" s="1" t="str">
        <f t="shared" si="1"/>
        <v>16-Oct</v>
      </c>
      <c r="D11" s="3">
        <v>2467</v>
      </c>
      <c r="E11" t="s">
        <v>35</v>
      </c>
      <c r="F11" t="s">
        <v>35</v>
      </c>
      <c r="G11">
        <f t="shared" si="0"/>
        <v>2.3038132295719844</v>
      </c>
      <c r="H11" t="s">
        <v>35</v>
      </c>
    </row>
    <row r="12" spans="1:16" hidden="1" x14ac:dyDescent="0.2">
      <c r="A12" s="5">
        <v>2016</v>
      </c>
      <c r="B12" s="1" t="s">
        <v>11</v>
      </c>
      <c r="C12" s="1" t="str">
        <f t="shared" si="1"/>
        <v>16-Nov</v>
      </c>
      <c r="D12" s="3">
        <v>2091</v>
      </c>
      <c r="E12" t="s">
        <v>35</v>
      </c>
      <c r="F12" t="s">
        <v>35</v>
      </c>
      <c r="G12">
        <f t="shared" si="0"/>
        <v>1.9526848249027238</v>
      </c>
      <c r="H12" t="s">
        <v>35</v>
      </c>
    </row>
    <row r="13" spans="1:16" hidden="1" x14ac:dyDescent="0.2">
      <c r="A13" s="5">
        <v>2016</v>
      </c>
      <c r="B13" s="1" t="s">
        <v>12</v>
      </c>
      <c r="C13" s="1" t="str">
        <f t="shared" si="1"/>
        <v>16-Dec</v>
      </c>
      <c r="D13" s="3">
        <v>2503</v>
      </c>
      <c r="E13" s="3">
        <f>N3</f>
        <v>1070.8333333333333</v>
      </c>
      <c r="F13" s="4">
        <f>O3</f>
        <v>50.375</v>
      </c>
      <c r="G13">
        <f t="shared" si="0"/>
        <v>2.3374319066147859</v>
      </c>
      <c r="H13" s="3">
        <f>(D13+1*F13)*G2</f>
        <v>2754.0682879377437</v>
      </c>
      <c r="I13" s="2"/>
    </row>
    <row r="14" spans="1:16" ht="17" thickTop="1" x14ac:dyDescent="0.2">
      <c r="A14" s="1">
        <v>2017</v>
      </c>
      <c r="B14" s="1" t="s">
        <v>1</v>
      </c>
      <c r="C14" s="1" t="str">
        <f t="shared" si="1"/>
        <v>17-Jan</v>
      </c>
      <c r="D14" s="3">
        <v>1176</v>
      </c>
      <c r="E14" s="3">
        <f t="shared" ref="E14:E45" si="2">$M$17*(D14/G2)+(1-$M$17)*(E13+F13)</f>
        <v>1112.5386111757264</v>
      </c>
      <c r="F14" s="3">
        <f t="shared" ref="F14:F45" si="3">$N$17*(E14-E13)+(1-$N$17)*F13</f>
        <v>49.29169415134136</v>
      </c>
      <c r="G14" s="3">
        <f t="shared" ref="G14:G45" si="4">$O$17*(D14/E14)+(1-$O$17)*G2</f>
        <v>1.0726560462945773</v>
      </c>
      <c r="H14" s="3">
        <f>(E13+1*F13)*G2</f>
        <v>1209.3344357976655</v>
      </c>
      <c r="I14" s="2">
        <f t="shared" ref="I14:I77" si="5">D14-H14</f>
        <v>-33.334435797665492</v>
      </c>
      <c r="J14" s="41">
        <f>I14^2</f>
        <v>1111.1846099486827</v>
      </c>
      <c r="K14" s="45">
        <f>ABS(I14/D14)</f>
        <v>2.8345608671484262E-2</v>
      </c>
    </row>
    <row r="15" spans="1:16" ht="17" thickBot="1" x14ac:dyDescent="0.25">
      <c r="A15" s="1">
        <v>2017</v>
      </c>
      <c r="B15" s="1" t="s">
        <v>2</v>
      </c>
      <c r="C15" s="1" t="str">
        <f t="shared" si="1"/>
        <v>17-Feb</v>
      </c>
      <c r="D15" s="3">
        <v>1066</v>
      </c>
      <c r="E15" s="3">
        <f t="shared" si="2"/>
        <v>1190.1353596983581</v>
      </c>
      <c r="F15" s="3">
        <f t="shared" si="3"/>
        <v>52.828489263064256</v>
      </c>
      <c r="G15" s="3">
        <f t="shared" si="4"/>
        <v>0.85839887587323171</v>
      </c>
      <c r="H15" s="3">
        <f t="shared" ref="H15:H78" si="6">(E14+1*F14)*G3</f>
        <v>980.81985620140313</v>
      </c>
      <c r="I15" s="2">
        <f t="shared" si="5"/>
        <v>85.180143798596873</v>
      </c>
      <c r="J15" s="41">
        <f t="shared" ref="J15:J78" si="7">I15^2</f>
        <v>7255.6568975496411</v>
      </c>
      <c r="K15" s="45">
        <f t="shared" ref="K15:K78" si="8">ABS(I15/D15)</f>
        <v>7.9906326265100261E-2</v>
      </c>
    </row>
    <row r="16" spans="1:16" ht="17" thickBot="1" x14ac:dyDescent="0.25">
      <c r="A16" s="1">
        <v>2017</v>
      </c>
      <c r="B16" s="1" t="s">
        <v>3</v>
      </c>
      <c r="C16" s="1" t="str">
        <f t="shared" si="1"/>
        <v>17-Mar</v>
      </c>
      <c r="D16" s="4">
        <v>830</v>
      </c>
      <c r="E16" s="3">
        <f t="shared" si="2"/>
        <v>1223.6450374342849</v>
      </c>
      <c r="F16" s="3">
        <f t="shared" si="3"/>
        <v>50.414550138369293</v>
      </c>
      <c r="G16" s="3">
        <f t="shared" si="4"/>
        <v>0.69903442913976521</v>
      </c>
      <c r="H16" s="3">
        <f t="shared" si="6"/>
        <v>878.68354894673632</v>
      </c>
      <c r="I16" s="2">
        <f t="shared" si="5"/>
        <v>-48.683548946736323</v>
      </c>
      <c r="J16" s="41">
        <f t="shared" si="7"/>
        <v>2370.0879380492715</v>
      </c>
      <c r="K16" s="45">
        <f t="shared" si="8"/>
        <v>5.865487824907991E-2</v>
      </c>
      <c r="M16" s="38" t="s">
        <v>27</v>
      </c>
      <c r="N16" s="39" t="s">
        <v>28</v>
      </c>
      <c r="O16" s="40" t="s">
        <v>29</v>
      </c>
      <c r="P16" s="6"/>
    </row>
    <row r="17" spans="1:19" ht="18" thickTop="1" thickBot="1" x14ac:dyDescent="0.25">
      <c r="A17" s="1">
        <v>2017</v>
      </c>
      <c r="B17" s="1" t="s">
        <v>4</v>
      </c>
      <c r="C17" s="1" t="str">
        <f t="shared" si="1"/>
        <v>17-Apr</v>
      </c>
      <c r="D17" s="4">
        <v>426</v>
      </c>
      <c r="E17" s="3">
        <f t="shared" si="2"/>
        <v>1241.4471031211385</v>
      </c>
      <c r="F17" s="3">
        <f t="shared" si="3"/>
        <v>46.339529681731278</v>
      </c>
      <c r="G17" s="3">
        <f t="shared" si="4"/>
        <v>0.36110337502302414</v>
      </c>
      <c r="H17" s="3">
        <f t="shared" si="6"/>
        <v>468.77460934190736</v>
      </c>
      <c r="I17" s="2">
        <f t="shared" si="5"/>
        <v>-42.774609341907365</v>
      </c>
      <c r="J17" s="41">
        <f t="shared" si="7"/>
        <v>1829.6672043527888</v>
      </c>
      <c r="K17" s="45">
        <f t="shared" si="8"/>
        <v>0.10040988108428958</v>
      </c>
      <c r="M17" s="42">
        <v>0.28052538909280367</v>
      </c>
      <c r="N17" s="43">
        <v>0.12495277575973303</v>
      </c>
      <c r="O17" s="44">
        <v>0.27569257205010989</v>
      </c>
    </row>
    <row r="18" spans="1:19" x14ac:dyDescent="0.2">
      <c r="A18" s="1">
        <v>2017</v>
      </c>
      <c r="B18" s="1" t="s">
        <v>5</v>
      </c>
      <c r="C18" s="1" t="str">
        <f t="shared" si="1"/>
        <v>17-May</v>
      </c>
      <c r="D18" s="4">
        <v>136</v>
      </c>
      <c r="E18" s="3">
        <f t="shared" si="2"/>
        <v>1240.7901519382203</v>
      </c>
      <c r="F18" s="3">
        <f t="shared" si="3"/>
        <v>40.467188946754149</v>
      </c>
      <c r="G18" s="3">
        <f t="shared" si="4"/>
        <v>0.11814947976488104</v>
      </c>
      <c r="H18" s="3">
        <f t="shared" si="6"/>
        <v>156.33829939085427</v>
      </c>
      <c r="I18" s="2">
        <f t="shared" si="5"/>
        <v>-20.338299390854274</v>
      </c>
      <c r="J18" s="41">
        <f t="shared" si="7"/>
        <v>413.64642211202334</v>
      </c>
      <c r="K18" s="45">
        <f t="shared" si="8"/>
        <v>0.14954631905039908</v>
      </c>
    </row>
    <row r="19" spans="1:19" x14ac:dyDescent="0.2">
      <c r="A19" s="1">
        <v>2017</v>
      </c>
      <c r="B19" s="1" t="s">
        <v>6</v>
      </c>
      <c r="C19" s="1" t="str">
        <f t="shared" si="1"/>
        <v>17-Jun</v>
      </c>
      <c r="D19" s="4">
        <v>59</v>
      </c>
      <c r="E19" s="3">
        <f t="shared" si="2"/>
        <v>1186.3598926518589</v>
      </c>
      <c r="F19" s="3">
        <f t="shared" si="3"/>
        <v>28.609489377510783</v>
      </c>
      <c r="G19" s="3">
        <f t="shared" si="4"/>
        <v>5.9029266123359209E-2</v>
      </c>
      <c r="H19" s="3">
        <f t="shared" si="6"/>
        <v>80.165828954982075</v>
      </c>
      <c r="I19" s="2">
        <f t="shared" si="5"/>
        <v>-21.165828954982075</v>
      </c>
      <c r="J19" s="41">
        <f t="shared" si="7"/>
        <v>447.99231535155758</v>
      </c>
      <c r="K19" s="45">
        <f t="shared" si="8"/>
        <v>0.35874286364376401</v>
      </c>
      <c r="M19" s="54" t="s">
        <v>42</v>
      </c>
      <c r="N19" s="54" t="s">
        <v>43</v>
      </c>
      <c r="O19" s="54" t="s">
        <v>44</v>
      </c>
    </row>
    <row r="20" spans="1:19" ht="19" x14ac:dyDescent="0.2">
      <c r="A20" s="1">
        <v>2017</v>
      </c>
      <c r="B20" s="1" t="s">
        <v>7</v>
      </c>
      <c r="C20" s="1" t="str">
        <f t="shared" si="1"/>
        <v>17-Jul</v>
      </c>
      <c r="D20" s="4">
        <v>69</v>
      </c>
      <c r="E20" s="3">
        <f t="shared" si="2"/>
        <v>1162.0190634913281</v>
      </c>
      <c r="F20" s="3">
        <f t="shared" si="3"/>
        <v>21.993200098820438</v>
      </c>
      <c r="G20" s="3">
        <f t="shared" si="4"/>
        <v>6.5070975751466364E-2</v>
      </c>
      <c r="H20" s="3">
        <f t="shared" si="6"/>
        <v>81.691326542675128</v>
      </c>
      <c r="I20" s="2">
        <f t="shared" si="5"/>
        <v>-12.691326542675128</v>
      </c>
      <c r="J20" s="41">
        <f t="shared" si="7"/>
        <v>161.06976941281022</v>
      </c>
      <c r="K20" s="45">
        <f t="shared" si="8"/>
        <v>0.18393226873442214</v>
      </c>
      <c r="M20" s="55" cm="1">
        <f t="array" ref="M20">AVERAGE(ABS(I14:I125))</f>
        <v>115.08385946523835</v>
      </c>
      <c r="N20" s="55">
        <f>AVERAGE(J14:J125)</f>
        <v>36368.774355204849</v>
      </c>
      <c r="O20" s="56">
        <f>AVERAGE(K14:K125)</f>
        <v>9.4460634772778468E-2</v>
      </c>
      <c r="S20" s="58"/>
    </row>
    <row r="21" spans="1:19" x14ac:dyDescent="0.2">
      <c r="A21" s="1">
        <v>2017</v>
      </c>
      <c r="B21" s="1" t="s">
        <v>8</v>
      </c>
      <c r="C21" s="1" t="str">
        <f t="shared" si="1"/>
        <v>17-Aug</v>
      </c>
      <c r="D21" s="4">
        <v>136</v>
      </c>
      <c r="E21" s="3">
        <f t="shared" si="2"/>
        <v>1184.0118642673774</v>
      </c>
      <c r="F21" s="3">
        <f t="shared" si="3"/>
        <v>21.993150202331758</v>
      </c>
      <c r="G21" s="3">
        <f t="shared" si="4"/>
        <v>0.11486378583783224</v>
      </c>
      <c r="H21" s="3">
        <f t="shared" si="6"/>
        <v>136.00016350654158</v>
      </c>
      <c r="I21" s="2">
        <f t="shared" si="5"/>
        <v>-1.6350654158259204E-4</v>
      </c>
      <c r="J21" s="41">
        <f t="shared" si="7"/>
        <v>2.6734389140299898E-8</v>
      </c>
      <c r="K21" s="45">
        <f t="shared" si="8"/>
        <v>1.2022539822249415E-6</v>
      </c>
    </row>
    <row r="22" spans="1:19" x14ac:dyDescent="0.2">
      <c r="A22" s="1">
        <v>2017</v>
      </c>
      <c r="B22" s="1" t="s">
        <v>9</v>
      </c>
      <c r="C22" s="1" t="str">
        <f t="shared" si="1"/>
        <v>17-Sep</v>
      </c>
      <c r="D22" s="3">
        <v>2504</v>
      </c>
      <c r="E22" s="3">
        <f t="shared" si="2"/>
        <v>1211.6275411061445</v>
      </c>
      <c r="F22" s="3">
        <f t="shared" si="3"/>
        <v>22.695700512337385</v>
      </c>
      <c r="G22" s="3">
        <f t="shared" si="4"/>
        <v>2.049035908600958</v>
      </c>
      <c r="H22" s="3">
        <f t="shared" si="6"/>
        <v>2463.0658054274745</v>
      </c>
      <c r="I22" s="2">
        <f t="shared" si="5"/>
        <v>40.934194572525485</v>
      </c>
      <c r="J22" s="41">
        <f t="shared" si="7"/>
        <v>1675.6082853013747</v>
      </c>
      <c r="K22" s="45">
        <f t="shared" si="8"/>
        <v>1.634752179413957E-2</v>
      </c>
    </row>
    <row r="23" spans="1:19" x14ac:dyDescent="0.2">
      <c r="A23" s="1">
        <v>2017</v>
      </c>
      <c r="B23" s="1" t="s">
        <v>10</v>
      </c>
      <c r="C23" s="1" t="str">
        <f t="shared" si="1"/>
        <v>17-Oct</v>
      </c>
      <c r="D23" s="3">
        <v>2402</v>
      </c>
      <c r="E23" s="3">
        <f t="shared" si="2"/>
        <v>1180.5454021542314</v>
      </c>
      <c r="F23" s="3">
        <f t="shared" si="3"/>
        <v>15.976010196917978</v>
      </c>
      <c r="G23" s="3">
        <f t="shared" si="4"/>
        <v>2.2296076965762079</v>
      </c>
      <c r="H23" s="3">
        <f t="shared" si="6"/>
        <v>2843.6502136088357</v>
      </c>
      <c r="I23" s="2">
        <f t="shared" si="5"/>
        <v>-441.65021360883566</v>
      </c>
      <c r="J23" s="41">
        <f t="shared" si="7"/>
        <v>195054.91118073015</v>
      </c>
      <c r="K23" s="45">
        <f t="shared" si="8"/>
        <v>0.18386769925430294</v>
      </c>
    </row>
    <row r="24" spans="1:19" x14ac:dyDescent="0.2">
      <c r="A24" s="1">
        <v>2017</v>
      </c>
      <c r="B24" s="1" t="s">
        <v>11</v>
      </c>
      <c r="C24" s="1" t="str">
        <f t="shared" si="1"/>
        <v>17-Nov</v>
      </c>
      <c r="D24" s="3">
        <v>2392</v>
      </c>
      <c r="E24" s="3">
        <f t="shared" si="2"/>
        <v>1204.5047892953423</v>
      </c>
      <c r="F24" s="3">
        <f t="shared" si="3"/>
        <v>16.973555306031145</v>
      </c>
      <c r="G24" s="3">
        <f t="shared" si="4"/>
        <v>1.9618360369812597</v>
      </c>
      <c r="H24" s="3">
        <f t="shared" si="6"/>
        <v>2336.4292045692637</v>
      </c>
      <c r="I24" s="2">
        <f t="shared" si="5"/>
        <v>55.570795430736325</v>
      </c>
      <c r="J24" s="41">
        <f t="shared" si="7"/>
        <v>3088.1133048047454</v>
      </c>
      <c r="K24" s="45">
        <f t="shared" si="8"/>
        <v>2.3231937889103816E-2</v>
      </c>
    </row>
    <row r="25" spans="1:19" x14ac:dyDescent="0.2">
      <c r="A25" s="1">
        <v>2017</v>
      </c>
      <c r="B25" s="1" t="s">
        <v>12</v>
      </c>
      <c r="C25" s="1" t="str">
        <f t="shared" si="1"/>
        <v>17-Dec</v>
      </c>
      <c r="D25" s="3">
        <v>2863</v>
      </c>
      <c r="E25" s="3">
        <f t="shared" si="2"/>
        <v>1222.4237629960724</v>
      </c>
      <c r="F25" s="3">
        <f t="shared" si="3"/>
        <v>17.09168795870308</v>
      </c>
      <c r="G25" s="3">
        <f t="shared" si="4"/>
        <v>2.3387101383536293</v>
      </c>
      <c r="H25" s="3">
        <f t="shared" si="6"/>
        <v>2855.1224559102611</v>
      </c>
      <c r="I25" s="2">
        <f t="shared" si="5"/>
        <v>7.8775440897388762</v>
      </c>
      <c r="J25" s="41">
        <f t="shared" si="7"/>
        <v>62.055700885779899</v>
      </c>
      <c r="K25" s="45">
        <f t="shared" si="8"/>
        <v>2.7514998567023667E-3</v>
      </c>
    </row>
    <row r="26" spans="1:19" x14ac:dyDescent="0.2">
      <c r="A26" s="1">
        <v>2018</v>
      </c>
      <c r="B26" s="1" t="s">
        <v>1</v>
      </c>
      <c r="C26" s="1" t="str">
        <f t="shared" si="1"/>
        <v>18-Jan</v>
      </c>
      <c r="D26" s="3">
        <v>1503</v>
      </c>
      <c r="E26" s="3">
        <f t="shared" si="2"/>
        <v>1284.8705938340897</v>
      </c>
      <c r="F26" s="3">
        <f t="shared" si="3"/>
        <v>22.758938956452692</v>
      </c>
      <c r="G26" s="3">
        <f t="shared" si="4"/>
        <v>1.0994289822725887</v>
      </c>
      <c r="H26" s="3">
        <f t="shared" si="6"/>
        <v>1329.5737429421895</v>
      </c>
      <c r="I26" s="2">
        <f t="shared" si="5"/>
        <v>173.42625705781052</v>
      </c>
      <c r="J26" s="41">
        <f t="shared" si="7"/>
        <v>30076.666637081773</v>
      </c>
      <c r="K26" s="45">
        <f t="shared" si="8"/>
        <v>0.11538673124272157</v>
      </c>
    </row>
    <row r="27" spans="1:19" x14ac:dyDescent="0.2">
      <c r="A27" s="1">
        <v>2018</v>
      </c>
      <c r="B27" s="1" t="s">
        <v>2</v>
      </c>
      <c r="C27" s="1" t="str">
        <f t="shared" si="1"/>
        <v>18-Feb</v>
      </c>
      <c r="D27" s="3">
        <v>1024</v>
      </c>
      <c r="E27" s="3">
        <f t="shared" si="2"/>
        <v>1275.4502085571535</v>
      </c>
      <c r="F27" s="3">
        <f t="shared" si="3"/>
        <v>18.7380430714183</v>
      </c>
      <c r="G27" s="3">
        <f t="shared" si="4"/>
        <v>0.84308550095728263</v>
      </c>
      <c r="H27" s="3">
        <f t="shared" si="6"/>
        <v>1122.4677210060408</v>
      </c>
      <c r="I27" s="2">
        <f t="shared" si="5"/>
        <v>-98.467721006040847</v>
      </c>
      <c r="J27" s="41">
        <f t="shared" si="7"/>
        <v>9695.8920801234981</v>
      </c>
      <c r="K27" s="45">
        <f t="shared" si="8"/>
        <v>9.6159883794961765E-2</v>
      </c>
    </row>
    <row r="28" spans="1:19" x14ac:dyDescent="0.2">
      <c r="A28" s="1">
        <v>2018</v>
      </c>
      <c r="B28" s="1" t="s">
        <v>3</v>
      </c>
      <c r="C28" s="1" t="str">
        <f t="shared" si="1"/>
        <v>18-Mar</v>
      </c>
      <c r="D28" s="4">
        <v>753</v>
      </c>
      <c r="E28" s="3">
        <f t="shared" si="2"/>
        <v>1233.3175832314314</v>
      </c>
      <c r="F28" s="3">
        <f t="shared" si="3"/>
        <v>11.13208409284535</v>
      </c>
      <c r="G28" s="3">
        <f t="shared" si="4"/>
        <v>0.67463947093343157</v>
      </c>
      <c r="H28" s="3">
        <f t="shared" si="6"/>
        <v>904.68214567656958</v>
      </c>
      <c r="I28" s="2">
        <f t="shared" si="5"/>
        <v>-151.68214567656958</v>
      </c>
      <c r="J28" s="41">
        <f t="shared" si="7"/>
        <v>23007.473317048076</v>
      </c>
      <c r="K28" s="45">
        <f t="shared" si="8"/>
        <v>0.20143711245228363</v>
      </c>
    </row>
    <row r="29" spans="1:19" x14ac:dyDescent="0.2">
      <c r="A29" s="1">
        <v>2018</v>
      </c>
      <c r="B29" s="1" t="s">
        <v>4</v>
      </c>
      <c r="C29" s="1" t="str">
        <f t="shared" si="1"/>
        <v>18-Apr</v>
      </c>
      <c r="D29" s="4">
        <v>391</v>
      </c>
      <c r="E29" s="3">
        <f t="shared" si="2"/>
        <v>1199.1007072076584</v>
      </c>
      <c r="F29" s="3">
        <f t="shared" si="3"/>
        <v>5.4656056484564584</v>
      </c>
      <c r="G29" s="3">
        <f t="shared" si="4"/>
        <v>0.35144705643302315</v>
      </c>
      <c r="H29" s="3">
        <f t="shared" si="6"/>
        <v>449.37497491707597</v>
      </c>
      <c r="I29" s="2">
        <f t="shared" si="5"/>
        <v>-58.374974917075974</v>
      </c>
      <c r="J29" s="41">
        <f t="shared" si="7"/>
        <v>3407.6376965692493</v>
      </c>
      <c r="K29" s="45">
        <f t="shared" si="8"/>
        <v>0.14929661104111502</v>
      </c>
    </row>
    <row r="30" spans="1:19" x14ac:dyDescent="0.2">
      <c r="A30" s="1">
        <v>2018</v>
      </c>
      <c r="B30" s="1" t="s">
        <v>5</v>
      </c>
      <c r="C30" s="1" t="str">
        <f t="shared" si="1"/>
        <v>18-May</v>
      </c>
      <c r="D30" s="4">
        <v>128</v>
      </c>
      <c r="E30" s="3">
        <f t="shared" si="2"/>
        <v>1170.5686152716528</v>
      </c>
      <c r="F30" s="3">
        <f t="shared" si="3"/>
        <v>1.2174989658379536</v>
      </c>
      <c r="G30" s="3">
        <f t="shared" si="4"/>
        <v>0.11572313333404609</v>
      </c>
      <c r="H30" s="3">
        <f t="shared" si="6"/>
        <v>142.31888320625089</v>
      </c>
      <c r="I30" s="2">
        <f t="shared" si="5"/>
        <v>-14.318883206250888</v>
      </c>
      <c r="J30" s="41">
        <f t="shared" si="7"/>
        <v>205.0304162742537</v>
      </c>
      <c r="K30" s="45">
        <f t="shared" si="8"/>
        <v>0.11186627504883506</v>
      </c>
    </row>
    <row r="31" spans="1:19" x14ac:dyDescent="0.2">
      <c r="A31" s="1">
        <v>2018</v>
      </c>
      <c r="B31" s="1" t="s">
        <v>6</v>
      </c>
      <c r="C31" s="1" t="str">
        <f t="shared" si="1"/>
        <v>18-Jun</v>
      </c>
      <c r="D31" s="4">
        <v>66</v>
      </c>
      <c r="E31" s="3">
        <f t="shared" si="2"/>
        <v>1156.7228380645813</v>
      </c>
      <c r="F31" s="3">
        <f t="shared" si="3"/>
        <v>-0.66469920400252813</v>
      </c>
      <c r="G31" s="3">
        <f t="shared" si="4"/>
        <v>5.8485733173387171E-2</v>
      </c>
      <c r="H31" s="3">
        <f t="shared" si="6"/>
        <v>69.169674376981831</v>
      </c>
      <c r="I31" s="2">
        <f t="shared" si="5"/>
        <v>-3.1696743769818312</v>
      </c>
      <c r="J31" s="41">
        <f t="shared" si="7"/>
        <v>10.04683565609516</v>
      </c>
      <c r="K31" s="45">
        <f t="shared" si="8"/>
        <v>4.8025369348209564E-2</v>
      </c>
    </row>
    <row r="32" spans="1:19" x14ac:dyDescent="0.2">
      <c r="A32" s="1">
        <v>2018</v>
      </c>
      <c r="B32" s="1" t="s">
        <v>7</v>
      </c>
      <c r="C32" s="1" t="str">
        <f t="shared" si="1"/>
        <v>18-Jul</v>
      </c>
      <c r="D32" s="4">
        <v>70</v>
      </c>
      <c r="E32" s="3">
        <f t="shared" si="2"/>
        <v>1133.5292265207052</v>
      </c>
      <c r="F32" s="3">
        <f t="shared" si="3"/>
        <v>-3.4797493357174405</v>
      </c>
      <c r="G32" s="3">
        <f t="shared" si="4"/>
        <v>6.4156518966270254E-2</v>
      </c>
      <c r="H32" s="3">
        <f t="shared" si="6"/>
        <v>75.225831121082052</v>
      </c>
      <c r="I32" s="2">
        <f t="shared" si="5"/>
        <v>-5.2258311210820523</v>
      </c>
      <c r="J32" s="41">
        <f t="shared" si="7"/>
        <v>27.309310906069701</v>
      </c>
      <c r="K32" s="45">
        <f t="shared" si="8"/>
        <v>7.4654730301172173E-2</v>
      </c>
    </row>
    <row r="33" spans="1:11" x14ac:dyDescent="0.2">
      <c r="A33" s="1">
        <v>2018</v>
      </c>
      <c r="B33" s="1" t="s">
        <v>8</v>
      </c>
      <c r="C33" s="1" t="str">
        <f t="shared" si="1"/>
        <v>18-Aug</v>
      </c>
      <c r="D33" s="4">
        <v>116</v>
      </c>
      <c r="E33" s="3">
        <f t="shared" si="2"/>
        <v>1096.3422091900438</v>
      </c>
      <c r="F33" s="3">
        <f t="shared" si="3"/>
        <v>-7.6915660349628894</v>
      </c>
      <c r="G33" s="3">
        <f t="shared" si="4"/>
        <v>0.11236672622681841</v>
      </c>
      <c r="H33" s="3">
        <f t="shared" si="6"/>
        <v>129.8017611335307</v>
      </c>
      <c r="I33" s="2">
        <f t="shared" si="5"/>
        <v>-13.801761133530704</v>
      </c>
      <c r="J33" s="41">
        <f t="shared" si="7"/>
        <v>190.48861038703873</v>
      </c>
      <c r="K33" s="45">
        <f t="shared" si="8"/>
        <v>0.11898069942698883</v>
      </c>
    </row>
    <row r="34" spans="1:11" x14ac:dyDescent="0.2">
      <c r="A34" s="1">
        <v>2018</v>
      </c>
      <c r="B34" s="1" t="s">
        <v>9</v>
      </c>
      <c r="C34" s="1" t="str">
        <f t="shared" si="1"/>
        <v>18-Sep</v>
      </c>
      <c r="D34" s="3">
        <v>1968</v>
      </c>
      <c r="E34" s="3">
        <f t="shared" si="2"/>
        <v>1052.6875817638354</v>
      </c>
      <c r="F34" s="3">
        <f t="shared" si="3"/>
        <v>-12.185250380616706</v>
      </c>
      <c r="G34" s="3">
        <f t="shared" si="4"/>
        <v>1.999539340387265</v>
      </c>
      <c r="H34" s="3">
        <f t="shared" si="6"/>
        <v>2230.6842597462883</v>
      </c>
      <c r="I34" s="2">
        <f t="shared" si="5"/>
        <v>-262.68425974628826</v>
      </c>
      <c r="J34" s="41">
        <f t="shared" si="7"/>
        <v>69003.020318455441</v>
      </c>
      <c r="K34" s="45">
        <f t="shared" si="8"/>
        <v>0.13347777426132534</v>
      </c>
    </row>
    <row r="35" spans="1:11" x14ac:dyDescent="0.2">
      <c r="A35" s="1">
        <v>2018</v>
      </c>
      <c r="B35" s="1" t="s">
        <v>10</v>
      </c>
      <c r="C35" s="1" t="str">
        <f t="shared" si="1"/>
        <v>18-Oct</v>
      </c>
      <c r="D35" s="3">
        <v>2379</v>
      </c>
      <c r="E35" s="3">
        <f t="shared" si="2"/>
        <v>1047.9366806782655</v>
      </c>
      <c r="F35" s="3">
        <f t="shared" si="3"/>
        <v>-11.256307800233195</v>
      </c>
      <c r="G35" s="3">
        <f t="shared" si="4"/>
        <v>2.2407918918089251</v>
      </c>
      <c r="H35" s="3">
        <f t="shared" si="6"/>
        <v>2319.9120063575124</v>
      </c>
      <c r="I35" s="2">
        <f t="shared" si="5"/>
        <v>59.087993642487618</v>
      </c>
      <c r="J35" s="41">
        <f t="shared" si="7"/>
        <v>3491.3909926946571</v>
      </c>
      <c r="K35" s="45">
        <f t="shared" si="8"/>
        <v>2.4837323935471885E-2</v>
      </c>
    </row>
    <row r="36" spans="1:11" x14ac:dyDescent="0.2">
      <c r="A36" s="1">
        <v>2018</v>
      </c>
      <c r="B36" s="1" t="s">
        <v>11</v>
      </c>
      <c r="C36" s="1" t="str">
        <f t="shared" si="1"/>
        <v>18-Nov</v>
      </c>
      <c r="D36" s="3">
        <v>2045</v>
      </c>
      <c r="E36" s="3">
        <f t="shared" si="2"/>
        <v>1038.2823161106194</v>
      </c>
      <c r="F36" s="3">
        <f t="shared" si="3"/>
        <v>-11.056140546711918</v>
      </c>
      <c r="G36" s="3">
        <f t="shared" si="4"/>
        <v>1.9639762782668289</v>
      </c>
      <c r="H36" s="3">
        <f t="shared" si="6"/>
        <v>2033.7969143432936</v>
      </c>
      <c r="I36" s="2">
        <f t="shared" si="5"/>
        <v>11.203085656706435</v>
      </c>
      <c r="J36" s="41">
        <f t="shared" si="7"/>
        <v>125.50912823150145</v>
      </c>
      <c r="K36" s="45">
        <f t="shared" si="8"/>
        <v>5.4782814947219732E-3</v>
      </c>
    </row>
    <row r="37" spans="1:11" x14ac:dyDescent="0.2">
      <c r="A37" s="1">
        <v>2018</v>
      </c>
      <c r="B37" s="1" t="s">
        <v>12</v>
      </c>
      <c r="C37" s="1" t="str">
        <f t="shared" si="1"/>
        <v>18-Dec</v>
      </c>
      <c r="D37" s="3">
        <v>2642</v>
      </c>
      <c r="E37" s="3">
        <f t="shared" si="2"/>
        <v>1055.9677859325693</v>
      </c>
      <c r="F37" s="3">
        <f t="shared" si="3"/>
        <v>-7.4647965513428947</v>
      </c>
      <c r="G37" s="3">
        <f t="shared" si="4"/>
        <v>2.3837197422683909</v>
      </c>
      <c r="H37" s="3">
        <f t="shared" si="6"/>
        <v>2402.3842711735356</v>
      </c>
      <c r="I37" s="2">
        <f t="shared" si="5"/>
        <v>239.61572882646442</v>
      </c>
      <c r="J37" s="41">
        <f t="shared" si="7"/>
        <v>57415.697501037728</v>
      </c>
      <c r="K37" s="45">
        <f t="shared" si="8"/>
        <v>9.0694825445293115E-2</v>
      </c>
    </row>
    <row r="38" spans="1:11" x14ac:dyDescent="0.2">
      <c r="A38" s="1">
        <v>2019</v>
      </c>
      <c r="B38" s="1" t="s">
        <v>1</v>
      </c>
      <c r="C38" s="1" t="str">
        <f t="shared" si="1"/>
        <v>19-Jan</v>
      </c>
      <c r="D38" s="3">
        <v>998</v>
      </c>
      <c r="E38" s="3">
        <f t="shared" si="2"/>
        <v>1009.0165032756594</v>
      </c>
      <c r="F38" s="3">
        <f t="shared" si="3"/>
        <v>-12.398742595231628</v>
      </c>
      <c r="G38" s="3">
        <f t="shared" si="4"/>
        <v>1.0690071222195399</v>
      </c>
      <c r="H38" s="3">
        <f t="shared" si="6"/>
        <v>1152.7545745251687</v>
      </c>
      <c r="I38" s="2">
        <f t="shared" si="5"/>
        <v>-154.75457452516866</v>
      </c>
      <c r="J38" s="41">
        <f t="shared" si="7"/>
        <v>23948.978336465982</v>
      </c>
      <c r="K38" s="45">
        <f t="shared" si="8"/>
        <v>0.15506470393303473</v>
      </c>
    </row>
    <row r="39" spans="1:11" x14ac:dyDescent="0.2">
      <c r="A39" s="1">
        <v>2019</v>
      </c>
      <c r="B39" s="1" t="s">
        <v>2</v>
      </c>
      <c r="C39" s="1" t="str">
        <f t="shared" si="1"/>
        <v>19-Feb</v>
      </c>
      <c r="D39" s="4">
        <v>1007</v>
      </c>
      <c r="E39" s="3">
        <f t="shared" si="2"/>
        <v>1052.1069150608466</v>
      </c>
      <c r="F39" s="3">
        <f t="shared" si="3"/>
        <v>-5.4652187308379387</v>
      </c>
      <c r="G39" s="3">
        <f t="shared" si="4"/>
        <v>0.87452591210495612</v>
      </c>
      <c r="H39" s="3">
        <f t="shared" si="6"/>
        <v>840.23398402618363</v>
      </c>
      <c r="I39" s="2">
        <f t="shared" si="5"/>
        <v>166.76601597381637</v>
      </c>
      <c r="J39" s="41">
        <f t="shared" si="7"/>
        <v>27810.904083779176</v>
      </c>
      <c r="K39" s="45">
        <f t="shared" si="8"/>
        <v>0.16560676859366075</v>
      </c>
    </row>
    <row r="40" spans="1:11" x14ac:dyDescent="0.2">
      <c r="A40" s="1">
        <v>2019</v>
      </c>
      <c r="B40" s="1" t="s">
        <v>3</v>
      </c>
      <c r="C40" s="1" t="str">
        <f t="shared" si="1"/>
        <v>19-Mar</v>
      </c>
      <c r="D40" s="4">
        <v>755</v>
      </c>
      <c r="E40" s="3">
        <f t="shared" si="2"/>
        <v>1066.9726508544416</v>
      </c>
      <c r="F40" s="3">
        <f t="shared" si="3"/>
        <v>-2.9248095291651497</v>
      </c>
      <c r="G40" s="3">
        <f t="shared" si="4"/>
        <v>0.68372906718549453</v>
      </c>
      <c r="H40" s="3">
        <f t="shared" si="6"/>
        <v>706.10580026894638</v>
      </c>
      <c r="I40" s="2">
        <f t="shared" si="5"/>
        <v>48.894199731053618</v>
      </c>
      <c r="J40" s="41">
        <f t="shared" si="7"/>
        <v>2390.6427673401636</v>
      </c>
      <c r="K40" s="45">
        <f t="shared" si="8"/>
        <v>6.4760529445104131E-2</v>
      </c>
    </row>
    <row r="41" spans="1:11" x14ac:dyDescent="0.2">
      <c r="A41" s="1">
        <v>2019</v>
      </c>
      <c r="B41" s="1" t="s">
        <v>4</v>
      </c>
      <c r="C41" s="1" t="str">
        <f t="shared" si="1"/>
        <v>19-Apr</v>
      </c>
      <c r="D41" s="4">
        <v>278</v>
      </c>
      <c r="E41" s="3">
        <f t="shared" si="2"/>
        <v>987.4552824100208</v>
      </c>
      <c r="F41" s="3">
        <f t="shared" si="3"/>
        <v>-12.495262368167225</v>
      </c>
      <c r="G41" s="3">
        <f t="shared" si="4"/>
        <v>0.33217192195084444</v>
      </c>
      <c r="H41" s="3">
        <f t="shared" si="6"/>
        <v>373.95648173768086</v>
      </c>
      <c r="I41" s="2">
        <f t="shared" si="5"/>
        <v>-95.956481737680861</v>
      </c>
      <c r="J41" s="41">
        <f t="shared" si="7"/>
        <v>9207.6463874738802</v>
      </c>
      <c r="K41" s="45">
        <f t="shared" si="8"/>
        <v>0.3451672004952549</v>
      </c>
    </row>
    <row r="42" spans="1:11" x14ac:dyDescent="0.2">
      <c r="A42" s="1">
        <v>2019</v>
      </c>
      <c r="B42" s="1" t="s">
        <v>5</v>
      </c>
      <c r="C42" s="1" t="str">
        <f t="shared" si="1"/>
        <v>19-May</v>
      </c>
      <c r="D42" s="4">
        <v>118</v>
      </c>
      <c r="E42" s="3">
        <f t="shared" si="2"/>
        <v>987.50374117308365</v>
      </c>
      <c r="F42" s="3">
        <f t="shared" si="3"/>
        <v>-10.927889594464007</v>
      </c>
      <c r="G42" s="3">
        <f t="shared" si="4"/>
        <v>0.11676251772275505</v>
      </c>
      <c r="H42" s="3">
        <f t="shared" si="6"/>
        <v>112.82542839466767</v>
      </c>
      <c r="I42" s="2">
        <f t="shared" si="5"/>
        <v>5.1745716053323321</v>
      </c>
      <c r="J42" s="41">
        <f t="shared" si="7"/>
        <v>26.776191298711627</v>
      </c>
      <c r="K42" s="45">
        <f t="shared" si="8"/>
        <v>4.3852301740104509E-2</v>
      </c>
    </row>
    <row r="43" spans="1:11" x14ac:dyDescent="0.2">
      <c r="A43" s="1">
        <v>2019</v>
      </c>
      <c r="B43" s="1" t="s">
        <v>6</v>
      </c>
      <c r="C43" s="1" t="str">
        <f t="shared" si="1"/>
        <v>19-Jun</v>
      </c>
      <c r="D43" s="4">
        <v>67</v>
      </c>
      <c r="E43" s="3">
        <f t="shared" si="2"/>
        <v>1023.9853925745733</v>
      </c>
      <c r="F43" s="3">
        <f t="shared" si="3"/>
        <v>-5.0039358495247379</v>
      </c>
      <c r="G43" s="3">
        <f t="shared" si="4"/>
        <v>6.0400387125613415E-2</v>
      </c>
      <c r="H43" s="3">
        <f t="shared" si="6"/>
        <v>57.115754679000503</v>
      </c>
      <c r="I43" s="2">
        <f t="shared" si="5"/>
        <v>9.8842453209994972</v>
      </c>
      <c r="J43" s="41">
        <f t="shared" si="7"/>
        <v>97.698305565700451</v>
      </c>
      <c r="K43" s="45">
        <f t="shared" si="8"/>
        <v>0.14752604956715668</v>
      </c>
    </row>
    <row r="44" spans="1:11" x14ac:dyDescent="0.2">
      <c r="A44" s="1">
        <v>2019</v>
      </c>
      <c r="B44" s="1" t="s">
        <v>7</v>
      </c>
      <c r="C44" s="1" t="str">
        <f t="shared" si="1"/>
        <v>19-Jul</v>
      </c>
      <c r="D44" s="4">
        <v>49</v>
      </c>
      <c r="E44" s="3">
        <f t="shared" si="2"/>
        <v>947.38455842701319</v>
      </c>
      <c r="F44" s="3">
        <f t="shared" si="3"/>
        <v>-13.950167027651567</v>
      </c>
      <c r="G44" s="3">
        <f t="shared" si="4"/>
        <v>6.0728232825728562E-2</v>
      </c>
      <c r="H44" s="3">
        <f t="shared" si="6"/>
        <v>65.374303154658278</v>
      </c>
      <c r="I44" s="2">
        <f t="shared" si="5"/>
        <v>-16.374303154658278</v>
      </c>
      <c r="J44" s="41">
        <f t="shared" si="7"/>
        <v>268.11780380065204</v>
      </c>
      <c r="K44" s="45">
        <f t="shared" si="8"/>
        <v>0.33416945213588323</v>
      </c>
    </row>
    <row r="45" spans="1:11" x14ac:dyDescent="0.2">
      <c r="A45" s="1">
        <v>2019</v>
      </c>
      <c r="B45" s="1" t="s">
        <v>8</v>
      </c>
      <c r="C45" s="1" t="str">
        <f t="shared" si="1"/>
        <v>19-Aug</v>
      </c>
      <c r="D45" s="4">
        <v>121</v>
      </c>
      <c r="E45" s="3">
        <f t="shared" si="2"/>
        <v>973.66084530778676</v>
      </c>
      <c r="F45" s="3">
        <f t="shared" si="3"/>
        <v>-8.9237599528228841</v>
      </c>
      <c r="G45" s="3">
        <f t="shared" si="4"/>
        <v>0.11564926705708392</v>
      </c>
      <c r="H45" s="3">
        <f t="shared" si="6"/>
        <v>104.88696670906893</v>
      </c>
      <c r="I45" s="2">
        <f t="shared" si="5"/>
        <v>16.113033290931071</v>
      </c>
      <c r="J45" s="41">
        <f t="shared" si="7"/>
        <v>259.62984183465295</v>
      </c>
      <c r="K45" s="45">
        <f t="shared" si="8"/>
        <v>0.13316556438786009</v>
      </c>
    </row>
    <row r="46" spans="1:11" x14ac:dyDescent="0.2">
      <c r="A46" s="1">
        <v>2019</v>
      </c>
      <c r="B46" s="1" t="s">
        <v>9</v>
      </c>
      <c r="C46" s="1" t="str">
        <f t="shared" si="1"/>
        <v>19-Sep</v>
      </c>
      <c r="D46" s="3">
        <v>2055</v>
      </c>
      <c r="E46" s="3">
        <f t="shared" ref="E46:E77" si="9">$M$17*(D46/G34)+(1-$M$17)*(E45+F45)</f>
        <v>982.41008192744289</v>
      </c>
      <c r="F46" s="3">
        <f t="shared" ref="F46:F77" si="10">$N$17*(E46-E45)+(1-$N$17)*F45</f>
        <v>-6.7154699750993831</v>
      </c>
      <c r="G46" s="3">
        <f t="shared" ref="G46:G77" si="11">$O$17*(D46/E46)+(1-$O$17)*G34</f>
        <v>2.0249734009082401</v>
      </c>
      <c r="H46" s="3">
        <f t="shared" si="6"/>
        <v>1929.029755297797</v>
      </c>
      <c r="I46" s="2">
        <f t="shared" si="5"/>
        <v>125.97024470220299</v>
      </c>
      <c r="J46" s="41">
        <f t="shared" si="7"/>
        <v>15868.5025503329</v>
      </c>
      <c r="K46" s="45">
        <f t="shared" si="8"/>
        <v>6.1299389149490506E-2</v>
      </c>
    </row>
    <row r="47" spans="1:11" x14ac:dyDescent="0.2">
      <c r="A47" s="1">
        <v>2019</v>
      </c>
      <c r="B47" s="1" t="s">
        <v>10</v>
      </c>
      <c r="C47" s="1" t="str">
        <f t="shared" si="1"/>
        <v>19-Oct</v>
      </c>
      <c r="D47" s="3">
        <v>1864</v>
      </c>
      <c r="E47" s="3">
        <f t="shared" si="9"/>
        <v>935.34220379486794</v>
      </c>
      <c r="F47" s="3">
        <f t="shared" si="10"/>
        <v>-11.75761538296565</v>
      </c>
      <c r="G47" s="3">
        <f t="shared" si="11"/>
        <v>2.1724371234208517</v>
      </c>
      <c r="H47" s="3">
        <f t="shared" si="6"/>
        <v>2186.328575344467</v>
      </c>
      <c r="I47" s="2">
        <f t="shared" si="5"/>
        <v>-322.32857534446703</v>
      </c>
      <c r="J47" s="41">
        <f t="shared" si="7"/>
        <v>103895.71048359375</v>
      </c>
      <c r="K47" s="45">
        <f t="shared" si="8"/>
        <v>0.17292305544231062</v>
      </c>
    </row>
    <row r="48" spans="1:11" x14ac:dyDescent="0.2">
      <c r="A48" s="1">
        <v>2019</v>
      </c>
      <c r="B48" s="1" t="s">
        <v>11</v>
      </c>
      <c r="C48" s="1" t="str">
        <f t="shared" si="1"/>
        <v>19-Nov</v>
      </c>
      <c r="D48" s="3">
        <v>1575</v>
      </c>
      <c r="E48" s="3">
        <f t="shared" si="9"/>
        <v>889.46145892509435</v>
      </c>
      <c r="F48" s="3">
        <f t="shared" si="10"/>
        <v>-16.021395129951095</v>
      </c>
      <c r="G48" s="3">
        <f t="shared" si="11"/>
        <v>1.9107009269539958</v>
      </c>
      <c r="H48" s="3">
        <f t="shared" si="6"/>
        <v>1813.8982226138087</v>
      </c>
      <c r="I48" s="2">
        <f t="shared" si="5"/>
        <v>-238.89822261380868</v>
      </c>
      <c r="J48" s="41">
        <f t="shared" si="7"/>
        <v>57072.360768036888</v>
      </c>
      <c r="K48" s="45">
        <f t="shared" si="8"/>
        <v>0.15168141118337058</v>
      </c>
    </row>
    <row r="49" spans="1:11" x14ac:dyDescent="0.2">
      <c r="A49" s="1">
        <v>2019</v>
      </c>
      <c r="B49" s="1" t="s">
        <v>12</v>
      </c>
      <c r="C49" s="1" t="str">
        <f t="shared" si="1"/>
        <v>19-Dec</v>
      </c>
      <c r="D49" s="3">
        <v>2167</v>
      </c>
      <c r="E49" s="3">
        <f t="shared" si="9"/>
        <v>883.43891890981399</v>
      </c>
      <c r="F49" s="3">
        <f t="shared" si="10"/>
        <v>-14.772010428953582</v>
      </c>
      <c r="G49" s="3">
        <f t="shared" si="11"/>
        <v>2.4027961811645935</v>
      </c>
      <c r="H49" s="3">
        <f t="shared" si="6"/>
        <v>2082.0363237566457</v>
      </c>
      <c r="I49" s="2">
        <f t="shared" si="5"/>
        <v>84.963676243354257</v>
      </c>
      <c r="J49" s="41">
        <f t="shared" si="7"/>
        <v>7218.8262807855208</v>
      </c>
      <c r="K49" s="45">
        <f t="shared" si="8"/>
        <v>3.9207972424252079E-2</v>
      </c>
    </row>
    <row r="50" spans="1:11" x14ac:dyDescent="0.2">
      <c r="A50" s="1">
        <v>2020</v>
      </c>
      <c r="B50" s="1" t="s">
        <v>1</v>
      </c>
      <c r="C50" s="1" t="str">
        <f t="shared" si="1"/>
        <v>20-Jan</v>
      </c>
      <c r="D50" s="3">
        <v>1569</v>
      </c>
      <c r="E50" s="3">
        <f t="shared" si="9"/>
        <v>1036.715687803513</v>
      </c>
      <c r="F50" s="3">
        <f t="shared" si="10"/>
        <v>6.2261510104466868</v>
      </c>
      <c r="G50" s="3">
        <f t="shared" si="11"/>
        <v>1.1915321064099782</v>
      </c>
      <c r="H50" s="3">
        <f t="shared" si="6"/>
        <v>928.6111120024691</v>
      </c>
      <c r="I50" s="2">
        <f t="shared" si="5"/>
        <v>640.3888879975309</v>
      </c>
      <c r="J50" s="41">
        <f t="shared" si="7"/>
        <v>410097.92787071416</v>
      </c>
      <c r="K50" s="45">
        <f t="shared" si="8"/>
        <v>0.4081509802406188</v>
      </c>
    </row>
    <row r="51" spans="1:11" x14ac:dyDescent="0.2">
      <c r="A51" s="1">
        <v>2020</v>
      </c>
      <c r="B51" s="1" t="s">
        <v>2</v>
      </c>
      <c r="C51" s="1" t="str">
        <f t="shared" si="1"/>
        <v>20-Feb</v>
      </c>
      <c r="D51" s="3">
        <v>1172</v>
      </c>
      <c r="E51" s="3">
        <f t="shared" si="9"/>
        <v>1126.3175886913907</v>
      </c>
      <c r="F51" s="3">
        <f t="shared" si="10"/>
        <v>16.644182388680917</v>
      </c>
      <c r="G51" s="3">
        <f t="shared" si="11"/>
        <v>0.92030002470643057</v>
      </c>
      <c r="H51" s="3">
        <f t="shared" si="6"/>
        <v>912.07966286119824</v>
      </c>
      <c r="I51" s="2">
        <f t="shared" si="5"/>
        <v>259.92033713880176</v>
      </c>
      <c r="J51" s="41">
        <f t="shared" si="7"/>
        <v>67558.581658348368</v>
      </c>
      <c r="K51" s="45">
        <f t="shared" si="8"/>
        <v>0.22177503168839741</v>
      </c>
    </row>
    <row r="52" spans="1:11" x14ac:dyDescent="0.2">
      <c r="A52" s="1">
        <v>2020</v>
      </c>
      <c r="B52" s="1" t="s">
        <v>3</v>
      </c>
      <c r="C52" s="1" t="str">
        <f t="shared" si="1"/>
        <v>20-Mar</v>
      </c>
      <c r="D52" s="4">
        <v>834</v>
      </c>
      <c r="E52" s="3">
        <f t="shared" si="9"/>
        <v>1164.5116278683377</v>
      </c>
      <c r="F52" s="3">
        <f t="shared" si="10"/>
        <v>19.33689681159948</v>
      </c>
      <c r="G52" s="3">
        <f t="shared" si="11"/>
        <v>0.69267556308038625</v>
      </c>
      <c r="H52" s="3">
        <f t="shared" si="6"/>
        <v>781.47618556925818</v>
      </c>
      <c r="I52" s="2">
        <f t="shared" si="5"/>
        <v>52.523814430741822</v>
      </c>
      <c r="J52" s="41">
        <f t="shared" si="7"/>
        <v>2758.7510823550028</v>
      </c>
      <c r="K52" s="45">
        <f t="shared" si="8"/>
        <v>6.2978194761081324E-2</v>
      </c>
    </row>
    <row r="53" spans="1:11" x14ac:dyDescent="0.2">
      <c r="A53" s="1">
        <v>2020</v>
      </c>
      <c r="B53" s="1" t="s">
        <v>4</v>
      </c>
      <c r="C53" s="1" t="str">
        <f t="shared" si="1"/>
        <v>20-Apr</v>
      </c>
      <c r="D53" s="4">
        <v>444</v>
      </c>
      <c r="E53" s="3">
        <f t="shared" si="9"/>
        <v>1226.7152452857242</v>
      </c>
      <c r="F53" s="3">
        <f t="shared" si="10"/>
        <v>24.693212539009522</v>
      </c>
      <c r="G53" s="3">
        <f t="shared" si="11"/>
        <v>0.34037936318390832</v>
      </c>
      <c r="H53" s="3">
        <f t="shared" si="6"/>
        <v>393.24123974160642</v>
      </c>
      <c r="I53" s="2">
        <f t="shared" si="5"/>
        <v>50.758760258393579</v>
      </c>
      <c r="J53" s="41">
        <f t="shared" si="7"/>
        <v>2576.4517429690754</v>
      </c>
      <c r="K53" s="45">
        <f t="shared" si="8"/>
        <v>0.11432153211349905</v>
      </c>
    </row>
    <row r="54" spans="1:11" x14ac:dyDescent="0.2">
      <c r="A54" s="1">
        <v>2020</v>
      </c>
      <c r="B54" s="1" t="s">
        <v>5</v>
      </c>
      <c r="C54" s="1" t="str">
        <f t="shared" si="1"/>
        <v>20-May</v>
      </c>
      <c r="D54" s="4">
        <v>158</v>
      </c>
      <c r="E54" s="3">
        <f t="shared" si="9"/>
        <v>1279.9562685549738</v>
      </c>
      <c r="F54" s="3">
        <f t="shared" si="10"/>
        <v>28.260340731616509</v>
      </c>
      <c r="G54" s="3">
        <f t="shared" si="11"/>
        <v>0.11860392346374179</v>
      </c>
      <c r="H54" s="3">
        <f t="shared" si="6"/>
        <v>146.11760223516603</v>
      </c>
      <c r="I54" s="2">
        <f t="shared" si="5"/>
        <v>11.882397764833968</v>
      </c>
      <c r="J54" s="41">
        <f t="shared" si="7"/>
        <v>141.19137664173127</v>
      </c>
      <c r="K54" s="45">
        <f t="shared" si="8"/>
        <v>7.5205049144518782E-2</v>
      </c>
    </row>
    <row r="55" spans="1:11" x14ac:dyDescent="0.2">
      <c r="A55" s="1">
        <v>2020</v>
      </c>
      <c r="B55" s="1" t="s">
        <v>6</v>
      </c>
      <c r="C55" s="1" t="str">
        <f t="shared" si="1"/>
        <v>20-Jun</v>
      </c>
      <c r="D55" s="4">
        <v>69</v>
      </c>
      <c r="E55" s="3">
        <f t="shared" si="9"/>
        <v>1261.6943277853231</v>
      </c>
      <c r="F55" s="3">
        <f t="shared" si="10"/>
        <v>22.447252523357495</v>
      </c>
      <c r="G55" s="3">
        <f t="shared" si="11"/>
        <v>5.882562507247352E-2</v>
      </c>
      <c r="H55" s="3">
        <f t="shared" si="6"/>
        <v>79.016789645067405</v>
      </c>
      <c r="I55" s="2">
        <f t="shared" si="5"/>
        <v>-10.016789645067405</v>
      </c>
      <c r="J55" s="41">
        <f t="shared" si="7"/>
        <v>100.33607479352959</v>
      </c>
      <c r="K55" s="45">
        <f t="shared" si="8"/>
        <v>0.14517086442126673</v>
      </c>
    </row>
    <row r="56" spans="1:11" x14ac:dyDescent="0.2">
      <c r="A56" s="1">
        <v>2020</v>
      </c>
      <c r="B56" s="1" t="s">
        <v>7</v>
      </c>
      <c r="C56" s="1" t="str">
        <f t="shared" si="1"/>
        <v>20-Jul</v>
      </c>
      <c r="D56" s="4">
        <v>85</v>
      </c>
      <c r="E56" s="3">
        <f t="shared" si="9"/>
        <v>1316.5526112100988</v>
      </c>
      <c r="F56" s="3">
        <f t="shared" si="10"/>
        <v>26.497100799724176</v>
      </c>
      <c r="G56" s="3">
        <f t="shared" si="11"/>
        <v>6.1785326890197806E-2</v>
      </c>
      <c r="H56" s="3">
        <f t="shared" si="6"/>
        <v>77.983648870184567</v>
      </c>
      <c r="I56" s="2">
        <f t="shared" si="5"/>
        <v>7.0163511298154333</v>
      </c>
      <c r="J56" s="41">
        <f t="shared" si="7"/>
        <v>49.229183176862307</v>
      </c>
      <c r="K56" s="45">
        <f t="shared" si="8"/>
        <v>8.254530740959333E-2</v>
      </c>
    </row>
    <row r="57" spans="1:11" x14ac:dyDescent="0.2">
      <c r="A57" s="1">
        <v>2020</v>
      </c>
      <c r="B57" s="1" t="s">
        <v>8</v>
      </c>
      <c r="C57" s="1" t="str">
        <f t="shared" si="1"/>
        <v>20-Aug</v>
      </c>
      <c r="D57" s="4">
        <v>173</v>
      </c>
      <c r="E57" s="3">
        <f t="shared" si="9"/>
        <v>1385.9287326103854</v>
      </c>
      <c r="F57" s="3">
        <f t="shared" si="10"/>
        <v>31.854953445623224</v>
      </c>
      <c r="G57" s="3">
        <f t="shared" si="11"/>
        <v>0.11817923610510075</v>
      </c>
      <c r="H57" s="3">
        <f t="shared" si="6"/>
        <v>155.32271481516366</v>
      </c>
      <c r="I57" s="2">
        <f t="shared" si="5"/>
        <v>17.677285184836336</v>
      </c>
      <c r="J57" s="41">
        <f t="shared" si="7"/>
        <v>312.48641150603419</v>
      </c>
      <c r="K57" s="45">
        <f t="shared" si="8"/>
        <v>0.10218083921870715</v>
      </c>
    </row>
    <row r="58" spans="1:11" x14ac:dyDescent="0.2">
      <c r="A58" s="1">
        <v>2020</v>
      </c>
      <c r="B58" s="1" t="s">
        <v>9</v>
      </c>
      <c r="C58" s="1" t="str">
        <f t="shared" si="1"/>
        <v>20-Sep</v>
      </c>
      <c r="D58" s="3">
        <v>2795</v>
      </c>
      <c r="E58" s="3">
        <f t="shared" si="9"/>
        <v>1407.2587543529767</v>
      </c>
      <c r="F58" s="3">
        <f t="shared" si="10"/>
        <v>30.539834014647763</v>
      </c>
      <c r="G58" s="3">
        <f t="shared" si="11"/>
        <v>2.0142647930589686</v>
      </c>
      <c r="H58" s="3">
        <f t="shared" si="6"/>
        <v>2870.9742525050565</v>
      </c>
      <c r="I58" s="2">
        <f t="shared" si="5"/>
        <v>-75.974252505056484</v>
      </c>
      <c r="J58" s="41">
        <f t="shared" si="7"/>
        <v>5772.0870437020812</v>
      </c>
      <c r="K58" s="45">
        <f t="shared" si="8"/>
        <v>2.7182201254045253E-2</v>
      </c>
    </row>
    <row r="59" spans="1:11" x14ac:dyDescent="0.2">
      <c r="A59" s="1">
        <v>2020</v>
      </c>
      <c r="B59" s="1" t="s">
        <v>10</v>
      </c>
      <c r="C59" s="1" t="str">
        <f t="shared" si="1"/>
        <v>20-Oct</v>
      </c>
      <c r="D59" s="3">
        <v>2593</v>
      </c>
      <c r="E59" s="3">
        <f t="shared" si="9"/>
        <v>1369.2919790235267</v>
      </c>
      <c r="F59" s="3">
        <f t="shared" si="10"/>
        <v>21.979743019215086</v>
      </c>
      <c r="G59" s="3">
        <f t="shared" si="11"/>
        <v>2.0955856870019423</v>
      </c>
      <c r="H59" s="3">
        <f t="shared" si="6"/>
        <v>3123.5270293719232</v>
      </c>
      <c r="I59" s="2">
        <f t="shared" si="5"/>
        <v>-530.52702937192316</v>
      </c>
      <c r="J59" s="41">
        <f t="shared" si="7"/>
        <v>281458.92889419739</v>
      </c>
      <c r="K59" s="45">
        <f t="shared" si="8"/>
        <v>0.20459970280444395</v>
      </c>
    </row>
    <row r="60" spans="1:11" x14ac:dyDescent="0.2">
      <c r="A60" s="1">
        <v>2020</v>
      </c>
      <c r="B60" s="1" t="s">
        <v>11</v>
      </c>
      <c r="C60" s="1" t="str">
        <f t="shared" si="1"/>
        <v>20-Nov</v>
      </c>
      <c r="D60" s="3">
        <v>2170</v>
      </c>
      <c r="E60" s="3">
        <f t="shared" si="9"/>
        <v>1319.5798549072306</v>
      </c>
      <c r="F60" s="3">
        <f t="shared" si="10"/>
        <v>13.021645221234984</v>
      </c>
      <c r="G60" s="3">
        <f t="shared" si="11"/>
        <v>1.8373010565028767</v>
      </c>
      <c r="H60" s="3">
        <f t="shared" si="6"/>
        <v>2658.3041689519487</v>
      </c>
      <c r="I60" s="2">
        <f t="shared" si="5"/>
        <v>-488.30416895194867</v>
      </c>
      <c r="J60" s="41">
        <f t="shared" si="7"/>
        <v>238440.96141585323</v>
      </c>
      <c r="K60" s="45">
        <f t="shared" si="8"/>
        <v>0.2250249626506676</v>
      </c>
    </row>
    <row r="61" spans="1:11" x14ac:dyDescent="0.2">
      <c r="A61" s="1">
        <v>2020</v>
      </c>
      <c r="B61" s="1" t="s">
        <v>12</v>
      </c>
      <c r="C61" s="1" t="str">
        <f t="shared" si="1"/>
        <v>20-Dec</v>
      </c>
      <c r="D61" s="3">
        <v>2941</v>
      </c>
      <c r="E61" s="3">
        <f t="shared" si="9"/>
        <v>1302.1333921780677</v>
      </c>
      <c r="F61" s="3">
        <f t="shared" si="10"/>
        <v>9.2145705606855728</v>
      </c>
      <c r="G61" s="3">
        <f t="shared" si="11"/>
        <v>2.3630426870099566</v>
      </c>
      <c r="H61" s="3">
        <f t="shared" si="6"/>
        <v>3201.9697955228858</v>
      </c>
      <c r="I61" s="2">
        <f t="shared" si="5"/>
        <v>-260.96979552288576</v>
      </c>
      <c r="J61" s="41">
        <f t="shared" si="7"/>
        <v>68105.234175256803</v>
      </c>
      <c r="K61" s="45">
        <f t="shared" si="8"/>
        <v>8.8735054581056017E-2</v>
      </c>
    </row>
    <row r="62" spans="1:11" x14ac:dyDescent="0.2">
      <c r="A62" s="1">
        <v>2021</v>
      </c>
      <c r="B62" s="1" t="s">
        <v>1</v>
      </c>
      <c r="C62" s="1" t="str">
        <f t="shared" si="1"/>
        <v>21-Jan</v>
      </c>
      <c r="D62" s="3">
        <v>1563</v>
      </c>
      <c r="E62" s="3">
        <f t="shared" si="9"/>
        <v>1311.4625712168113</v>
      </c>
      <c r="F62" s="3">
        <f t="shared" si="10"/>
        <v>9.2288912081445247</v>
      </c>
      <c r="G62" s="3">
        <f t="shared" si="11"/>
        <v>1.1916057330460967</v>
      </c>
      <c r="H62" s="3">
        <f t="shared" si="6"/>
        <v>1562.5132002785404</v>
      </c>
      <c r="I62" s="2">
        <f t="shared" si="5"/>
        <v>0.48679972145964712</v>
      </c>
      <c r="J62" s="41">
        <f t="shared" si="7"/>
        <v>0.23697396881319002</v>
      </c>
      <c r="K62" s="45">
        <f t="shared" si="8"/>
        <v>3.1145215704392012E-4</v>
      </c>
    </row>
    <row r="63" spans="1:11" x14ac:dyDescent="0.2">
      <c r="A63" s="1">
        <v>2021</v>
      </c>
      <c r="B63" s="1" t="s">
        <v>2</v>
      </c>
      <c r="C63" s="1" t="str">
        <f t="shared" si="1"/>
        <v>21-Feb</v>
      </c>
      <c r="D63" s="3">
        <v>1334</v>
      </c>
      <c r="E63" s="3">
        <f t="shared" si="9"/>
        <v>1356.8331828407909</v>
      </c>
      <c r="F63" s="3">
        <f t="shared" si="10"/>
        <v>13.744899494835327</v>
      </c>
      <c r="G63" s="3">
        <f t="shared" si="11"/>
        <v>0.93763328122069511</v>
      </c>
      <c r="H63" s="3">
        <f t="shared" si="6"/>
        <v>1215.4323854992588</v>
      </c>
      <c r="I63" s="2">
        <f t="shared" si="5"/>
        <v>118.56761450074123</v>
      </c>
      <c r="J63" s="41">
        <f t="shared" si="7"/>
        <v>14058.279208396381</v>
      </c>
      <c r="K63" s="45">
        <f t="shared" si="8"/>
        <v>8.8881270240435697E-2</v>
      </c>
    </row>
    <row r="64" spans="1:11" x14ac:dyDescent="0.2">
      <c r="A64" s="1">
        <v>2021</v>
      </c>
      <c r="B64" s="1" t="s">
        <v>3</v>
      </c>
      <c r="C64" s="1" t="str">
        <f t="shared" si="1"/>
        <v>21-Mar</v>
      </c>
      <c r="D64" s="4">
        <v>842</v>
      </c>
      <c r="E64" s="3">
        <f t="shared" si="9"/>
        <v>1327.0961478176064</v>
      </c>
      <c r="F64" s="3">
        <f t="shared" si="10"/>
        <v>8.3117110814058002</v>
      </c>
      <c r="G64" s="3">
        <f t="shared" si="11"/>
        <v>0.67662816225958733</v>
      </c>
      <c r="H64" s="3">
        <f t="shared" si="6"/>
        <v>949.36594492746588</v>
      </c>
      <c r="I64" s="2">
        <f t="shared" si="5"/>
        <v>-107.36594492746588</v>
      </c>
      <c r="J64" s="41">
        <f t="shared" si="7"/>
        <v>11527.446130167635</v>
      </c>
      <c r="K64" s="45">
        <f t="shared" si="8"/>
        <v>0.1275129987262065</v>
      </c>
    </row>
    <row r="65" spans="1:11" x14ac:dyDescent="0.2">
      <c r="A65" s="1">
        <v>2021</v>
      </c>
      <c r="B65" s="1" t="s">
        <v>4</v>
      </c>
      <c r="C65" s="1" t="str">
        <f t="shared" si="1"/>
        <v>21-Apr</v>
      </c>
      <c r="D65" s="4">
        <v>468</v>
      </c>
      <c r="E65" s="3">
        <f t="shared" si="9"/>
        <v>1346.4966378450119</v>
      </c>
      <c r="F65" s="3">
        <f t="shared" si="10"/>
        <v>9.6972847904945567</v>
      </c>
      <c r="G65" s="3">
        <f t="shared" si="11"/>
        <v>0.34236139233984753</v>
      </c>
      <c r="H65" s="3">
        <f t="shared" si="6"/>
        <v>454.54527660283225</v>
      </c>
      <c r="I65" s="2">
        <f t="shared" si="5"/>
        <v>13.454723397167754</v>
      </c>
      <c r="J65" s="41">
        <f t="shared" si="7"/>
        <v>181.0295816942934</v>
      </c>
      <c r="K65" s="45">
        <f t="shared" si="8"/>
        <v>2.8749408968307168E-2</v>
      </c>
    </row>
    <row r="66" spans="1:11" x14ac:dyDescent="0.2">
      <c r="A66" s="1">
        <v>2021</v>
      </c>
      <c r="B66" s="1" t="s">
        <v>5</v>
      </c>
      <c r="C66" s="1" t="str">
        <f t="shared" si="1"/>
        <v>21-May</v>
      </c>
      <c r="D66" s="4">
        <v>150</v>
      </c>
      <c r="E66" s="3">
        <f t="shared" si="9"/>
        <v>1330.5313813175248</v>
      </c>
      <c r="F66" s="3">
        <f t="shared" si="10"/>
        <v>6.4906790197639115</v>
      </c>
      <c r="G66" s="3">
        <f t="shared" si="11"/>
        <v>0.11698643213870095</v>
      </c>
      <c r="H66" s="3">
        <f t="shared" si="6"/>
        <v>160.84992020225337</v>
      </c>
      <c r="I66" s="2">
        <f t="shared" si="5"/>
        <v>-10.849920202253372</v>
      </c>
      <c r="J66" s="41">
        <f t="shared" si="7"/>
        <v>117.72076839526586</v>
      </c>
      <c r="K66" s="45">
        <f t="shared" si="8"/>
        <v>7.2332801348355819E-2</v>
      </c>
    </row>
    <row r="67" spans="1:11" x14ac:dyDescent="0.2">
      <c r="A67" s="1">
        <v>2021</v>
      </c>
      <c r="B67" s="1" t="s">
        <v>6</v>
      </c>
      <c r="C67" s="1" t="str">
        <f t="shared" ref="C67:C121" si="12">RIGHT(A67,2)&amp;"-"&amp; B67</f>
        <v>21-Jun</v>
      </c>
      <c r="D67" s="4">
        <v>74</v>
      </c>
      <c r="E67" s="3">
        <f t="shared" si="9"/>
        <v>1314.8417940313914</v>
      </c>
      <c r="F67" s="3">
        <f t="shared" si="10"/>
        <v>3.7191931777519533</v>
      </c>
      <c r="G67" s="3">
        <f t="shared" si="11"/>
        <v>5.8123962726394002E-2</v>
      </c>
      <c r="H67" s="3">
        <f t="shared" si="6"/>
        <v>78.651158435027426</v>
      </c>
      <c r="I67" s="2">
        <f t="shared" si="5"/>
        <v>-4.6511584350274262</v>
      </c>
      <c r="J67" s="41">
        <f t="shared" si="7"/>
        <v>21.633274787726776</v>
      </c>
      <c r="K67" s="45">
        <f t="shared" si="8"/>
        <v>6.2853492365235492E-2</v>
      </c>
    </row>
    <row r="68" spans="1:11" x14ac:dyDescent="0.2">
      <c r="A68" s="1">
        <v>2021</v>
      </c>
      <c r="B68" s="1" t="s">
        <v>7</v>
      </c>
      <c r="C68" s="1" t="str">
        <f t="shared" si="12"/>
        <v>21-Jul</v>
      </c>
      <c r="D68" s="4">
        <v>75</v>
      </c>
      <c r="E68" s="3">
        <f t="shared" si="9"/>
        <v>1289.1954369217005</v>
      </c>
      <c r="F68" s="3">
        <f t="shared" si="10"/>
        <v>4.9886157623951988E-2</v>
      </c>
      <c r="G68" s="3">
        <f t="shared" si="11"/>
        <v>6.0790212291861365E-2</v>
      </c>
      <c r="H68" s="3">
        <f t="shared" si="6"/>
        <v>81.46772161937885</v>
      </c>
      <c r="I68" s="2">
        <f t="shared" si="5"/>
        <v>-6.4677216193788496</v>
      </c>
      <c r="J68" s="41">
        <f t="shared" si="7"/>
        <v>41.831422945780567</v>
      </c>
      <c r="K68" s="45">
        <f t="shared" si="8"/>
        <v>8.6236288258384655E-2</v>
      </c>
    </row>
    <row r="69" spans="1:11" x14ac:dyDescent="0.2">
      <c r="A69" s="1">
        <v>2021</v>
      </c>
      <c r="B69" s="1" t="s">
        <v>8</v>
      </c>
      <c r="C69" s="1" t="str">
        <f t="shared" si="12"/>
        <v>21-Aug</v>
      </c>
      <c r="D69" s="4">
        <v>150</v>
      </c>
      <c r="E69" s="3">
        <f t="shared" si="9"/>
        <v>1283.6385118771773</v>
      </c>
      <c r="F69" s="3">
        <f t="shared" si="10"/>
        <v>-0.65070046524510883</v>
      </c>
      <c r="G69" s="3">
        <f t="shared" si="11"/>
        <v>0.11781424461644784</v>
      </c>
      <c r="H69" s="3">
        <f t="shared" si="6"/>
        <v>152.36202743358839</v>
      </c>
      <c r="I69" s="2">
        <f t="shared" si="5"/>
        <v>-2.3620274335883948</v>
      </c>
      <c r="J69" s="41">
        <f t="shared" si="7"/>
        <v>5.5791735970241794</v>
      </c>
      <c r="K69" s="45">
        <f t="shared" si="8"/>
        <v>1.5746849557255967E-2</v>
      </c>
    </row>
    <row r="70" spans="1:11" x14ac:dyDescent="0.2">
      <c r="A70" s="1">
        <v>2021</v>
      </c>
      <c r="B70" s="1" t="s">
        <v>9</v>
      </c>
      <c r="C70" s="1" t="str">
        <f t="shared" si="12"/>
        <v>21-Sep</v>
      </c>
      <c r="D70" s="3">
        <v>3213</v>
      </c>
      <c r="E70" s="3">
        <f t="shared" si="9"/>
        <v>1370.5496427830481</v>
      </c>
      <c r="F70" s="3">
        <f t="shared" si="10"/>
        <v>10.290393415181493</v>
      </c>
      <c r="G70" s="3">
        <f t="shared" si="11"/>
        <v>2.1052571662529225</v>
      </c>
      <c r="H70" s="3">
        <f t="shared" si="6"/>
        <v>2584.2771784508345</v>
      </c>
      <c r="I70" s="2">
        <f t="shared" si="5"/>
        <v>628.72282154916547</v>
      </c>
      <c r="J70" s="41">
        <f t="shared" si="7"/>
        <v>395292.38633674377</v>
      </c>
      <c r="K70" s="45">
        <f t="shared" si="8"/>
        <v>0.1956809279642594</v>
      </c>
    </row>
    <row r="71" spans="1:11" x14ac:dyDescent="0.2">
      <c r="A71" s="1">
        <v>2021</v>
      </c>
      <c r="B71" s="1" t="s">
        <v>10</v>
      </c>
      <c r="C71" s="1" t="str">
        <f t="shared" si="12"/>
        <v>21-Oct</v>
      </c>
      <c r="D71" s="3">
        <v>2675</v>
      </c>
      <c r="E71" s="3">
        <f t="shared" si="9"/>
        <v>1351.5679816422355</v>
      </c>
      <c r="F71" s="3">
        <f t="shared" si="10"/>
        <v>6.6327689462196986</v>
      </c>
      <c r="G71" s="3">
        <f t="shared" si="11"/>
        <v>2.0634942548237909</v>
      </c>
      <c r="H71" s="3">
        <f t="shared" si="6"/>
        <v>2893.6686158962539</v>
      </c>
      <c r="I71" s="2">
        <f t="shared" si="5"/>
        <v>-218.66861589625387</v>
      </c>
      <c r="J71" s="41">
        <f t="shared" si="7"/>
        <v>47815.963577983413</v>
      </c>
      <c r="K71" s="45">
        <f t="shared" si="8"/>
        <v>8.1745276970562192E-2</v>
      </c>
    </row>
    <row r="72" spans="1:11" x14ac:dyDescent="0.2">
      <c r="A72" s="1">
        <v>2021</v>
      </c>
      <c r="B72" s="1" t="s">
        <v>11</v>
      </c>
      <c r="C72" s="1" t="str">
        <f t="shared" si="12"/>
        <v>21-Nov</v>
      </c>
      <c r="D72" s="3">
        <v>2150</v>
      </c>
      <c r="E72" s="3">
        <f t="shared" si="9"/>
        <v>1305.460286412746</v>
      </c>
      <c r="F72" s="3">
        <f t="shared" si="10"/>
        <v>4.2701552608069626E-2</v>
      </c>
      <c r="G72" s="3">
        <f t="shared" si="11"/>
        <v>1.7848168092719621</v>
      </c>
      <c r="H72" s="3">
        <f t="shared" si="6"/>
        <v>2495.4236739991688</v>
      </c>
      <c r="I72" s="2">
        <f t="shared" si="5"/>
        <v>-345.42367399916884</v>
      </c>
      <c r="J72" s="41">
        <f t="shared" si="7"/>
        <v>119317.51455908407</v>
      </c>
      <c r="K72" s="45">
        <f t="shared" si="8"/>
        <v>0.16066217395310178</v>
      </c>
    </row>
    <row r="73" spans="1:11" x14ac:dyDescent="0.2">
      <c r="A73" s="1">
        <v>2021</v>
      </c>
      <c r="B73" s="1" t="s">
        <v>12</v>
      </c>
      <c r="C73" s="1" t="str">
        <f t="shared" si="12"/>
        <v>21-Dec</v>
      </c>
      <c r="D73" s="3">
        <v>2776</v>
      </c>
      <c r="E73" s="3">
        <f t="shared" si="9"/>
        <v>1268.8253074818338</v>
      </c>
      <c r="F73" s="3">
        <f t="shared" si="10"/>
        <v>-4.540276432236376</v>
      </c>
      <c r="G73" s="3">
        <f t="shared" si="11"/>
        <v>2.3147434842516721</v>
      </c>
      <c r="H73" s="3">
        <f t="shared" si="6"/>
        <v>3084.9592885811776</v>
      </c>
      <c r="I73" s="2">
        <f t="shared" si="5"/>
        <v>-308.95928858117759</v>
      </c>
      <c r="J73" s="41">
        <f t="shared" si="7"/>
        <v>95455.842000587378</v>
      </c>
      <c r="K73" s="45">
        <f t="shared" si="8"/>
        <v>0.11129657369638962</v>
      </c>
    </row>
    <row r="74" spans="1:11" x14ac:dyDescent="0.2">
      <c r="A74" s="1">
        <v>2022</v>
      </c>
      <c r="B74" s="1" t="s">
        <v>1</v>
      </c>
      <c r="C74" s="1" t="str">
        <f t="shared" si="12"/>
        <v>22-Jan</v>
      </c>
      <c r="D74" s="3">
        <v>1364</v>
      </c>
      <c r="E74" s="3">
        <f t="shared" si="9"/>
        <v>1230.7310762782888</v>
      </c>
      <c r="F74" s="3">
        <f t="shared" si="10"/>
        <v>-8.7329362186279198</v>
      </c>
      <c r="G74" s="3">
        <f t="shared" si="11"/>
        <v>1.1686346486862851</v>
      </c>
      <c r="H74" s="3">
        <f t="shared" si="6"/>
        <v>1506.5292912030627</v>
      </c>
      <c r="I74" s="2">
        <f t="shared" si="5"/>
        <v>-142.52929120306271</v>
      </c>
      <c r="J74" s="41">
        <f t="shared" si="7"/>
        <v>20314.598850847451</v>
      </c>
      <c r="K74" s="45">
        <f t="shared" si="8"/>
        <v>0.10449361525151225</v>
      </c>
    </row>
    <row r="75" spans="1:11" x14ac:dyDescent="0.2">
      <c r="A75" s="1">
        <v>2022</v>
      </c>
      <c r="B75" s="1" t="s">
        <v>2</v>
      </c>
      <c r="C75" s="1" t="str">
        <f t="shared" si="12"/>
        <v>22-Feb</v>
      </c>
      <c r="D75" s="3">
        <v>1280</v>
      </c>
      <c r="E75" s="3">
        <f t="shared" si="9"/>
        <v>1262.1528573260052</v>
      </c>
      <c r="F75" s="3">
        <f t="shared" si="10"/>
        <v>-3.715492836350915</v>
      </c>
      <c r="G75" s="3">
        <f t="shared" si="11"/>
        <v>0.95872568110691403</v>
      </c>
      <c r="H75" s="3">
        <f t="shared" si="6"/>
        <v>1145.7861257097265</v>
      </c>
      <c r="I75" s="2">
        <f t="shared" si="5"/>
        <v>134.21387429027345</v>
      </c>
      <c r="J75" s="41">
        <f t="shared" si="7"/>
        <v>18013.364052005327</v>
      </c>
      <c r="K75" s="45">
        <f t="shared" si="8"/>
        <v>0.10485458928927613</v>
      </c>
    </row>
    <row r="76" spans="1:11" x14ac:dyDescent="0.2">
      <c r="A76" s="1">
        <v>2022</v>
      </c>
      <c r="B76" s="1" t="s">
        <v>3</v>
      </c>
      <c r="C76" s="1" t="str">
        <f t="shared" si="12"/>
        <v>22-Mar</v>
      </c>
      <c r="D76" s="4">
        <v>719</v>
      </c>
      <c r="E76" s="3">
        <f t="shared" si="9"/>
        <v>1203.5061951838686</v>
      </c>
      <c r="F76" s="3">
        <f t="shared" si="10"/>
        <v>-10.579294916836686</v>
      </c>
      <c r="G76" s="3">
        <f t="shared" si="11"/>
        <v>0.65479136468984667</v>
      </c>
      <c r="H76" s="3">
        <f t="shared" si="6"/>
        <v>851.49416125343328</v>
      </c>
      <c r="I76" s="2">
        <f t="shared" si="5"/>
        <v>-132.49416125343328</v>
      </c>
      <c r="J76" s="41">
        <f t="shared" si="7"/>
        <v>17554.702766250779</v>
      </c>
      <c r="K76" s="45">
        <f t="shared" si="8"/>
        <v>0.18427560675025489</v>
      </c>
    </row>
    <row r="77" spans="1:11" x14ac:dyDescent="0.2">
      <c r="A77" s="1">
        <v>2022</v>
      </c>
      <c r="B77" s="1" t="s">
        <v>4</v>
      </c>
      <c r="C77" s="1" t="str">
        <f t="shared" si="12"/>
        <v>22-Apr</v>
      </c>
      <c r="D77" s="4">
        <v>498</v>
      </c>
      <c r="E77" s="3">
        <f t="shared" si="9"/>
        <v>1266.3337650314479</v>
      </c>
      <c r="F77" s="3">
        <f t="shared" si="10"/>
        <v>-1.4069034047035665</v>
      </c>
      <c r="G77" s="3">
        <f t="shared" si="11"/>
        <v>0.35639410515591424</v>
      </c>
      <c r="H77" s="3">
        <f t="shared" si="6"/>
        <v>408.41211453507947</v>
      </c>
      <c r="I77" s="2">
        <f t="shared" si="5"/>
        <v>89.587885464920532</v>
      </c>
      <c r="J77" s="41">
        <f t="shared" si="7"/>
        <v>8025.9892220757192</v>
      </c>
      <c r="K77" s="45">
        <f t="shared" si="8"/>
        <v>0.17989535233919784</v>
      </c>
    </row>
    <row r="78" spans="1:11" x14ac:dyDescent="0.2">
      <c r="A78" s="1">
        <v>2022</v>
      </c>
      <c r="B78" s="1" t="s">
        <v>5</v>
      </c>
      <c r="C78" s="1" t="str">
        <f t="shared" si="12"/>
        <v>22-May</v>
      </c>
      <c r="D78" s="4">
        <v>160</v>
      </c>
      <c r="E78" s="3">
        <f t="shared" ref="E78:E109" si="13">$M$17*(D78/G66)+(1-$M$17)*(E77+F77)</f>
        <v>1293.751717338765</v>
      </c>
      <c r="F78" s="3">
        <f t="shared" ref="F78:F109" si="14">$N$17*(E78-E77)+(1-$N$17)*F77</f>
        <v>2.1948423273872164</v>
      </c>
      <c r="G78" s="3">
        <f t="shared" ref="G78:G109" si="15">$O$17*(D78/E78)+(1-$O$17)*G66</f>
        <v>0.11882940976733349</v>
      </c>
      <c r="H78" s="3">
        <f t="shared" si="6"/>
        <v>147.9792804581171</v>
      </c>
      <c r="I78" s="2">
        <f t="shared" ref="I78:I121" si="16">D78-H78</f>
        <v>12.020719541882897</v>
      </c>
      <c r="J78" s="41">
        <f t="shared" si="7"/>
        <v>144.49769830460536</v>
      </c>
      <c r="K78" s="45">
        <f t="shared" si="8"/>
        <v>7.5129497136768114E-2</v>
      </c>
    </row>
    <row r="79" spans="1:11" x14ac:dyDescent="0.2">
      <c r="A79" s="1">
        <v>2022</v>
      </c>
      <c r="B79" s="1" t="s">
        <v>6</v>
      </c>
      <c r="C79" s="1" t="str">
        <f t="shared" si="12"/>
        <v>22-Jun</v>
      </c>
      <c r="D79" s="4">
        <v>88</v>
      </c>
      <c r="E79" s="3">
        <f t="shared" si="13"/>
        <v>1357.1176323703617</v>
      </c>
      <c r="F79" s="3">
        <f t="shared" si="14"/>
        <v>9.8383376579786184</v>
      </c>
      <c r="G79" s="3">
        <f t="shared" si="15"/>
        <v>5.9976436992369896E-2</v>
      </c>
      <c r="H79" s="3">
        <f t="shared" ref="H79:H120" si="17">(E78+1*F78)*G67</f>
        <v>75.325549529433971</v>
      </c>
      <c r="I79" s="2">
        <f t="shared" si="16"/>
        <v>12.674450470566029</v>
      </c>
      <c r="J79" s="41">
        <f t="shared" ref="J79:J121" si="18">I79^2</f>
        <v>160.64169473083143</v>
      </c>
      <c r="K79" s="45">
        <f t="shared" ref="K79:K120" si="19">ABS(I79/D79)</f>
        <v>0.14402784625643214</v>
      </c>
    </row>
    <row r="80" spans="1:11" x14ac:dyDescent="0.2">
      <c r="A80" s="1">
        <v>2022</v>
      </c>
      <c r="B80" s="1" t="s">
        <v>7</v>
      </c>
      <c r="C80" s="1" t="str">
        <f t="shared" si="12"/>
        <v>22-Jul</v>
      </c>
      <c r="D80" s="4">
        <v>77</v>
      </c>
      <c r="E80" s="3">
        <f t="shared" si="13"/>
        <v>1338.8179568568107</v>
      </c>
      <c r="F80" s="3">
        <f t="shared" si="14"/>
        <v>6.3224148078320717</v>
      </c>
      <c r="G80" s="3">
        <f t="shared" si="15"/>
        <v>5.9886825108814906E-2</v>
      </c>
      <c r="H80" s="3">
        <f t="shared" si="17"/>
        <v>83.097543611650082</v>
      </c>
      <c r="I80" s="2">
        <f t="shared" si="16"/>
        <v>-6.0975436116500816</v>
      </c>
      <c r="J80" s="41">
        <f t="shared" si="18"/>
        <v>37.180038095974723</v>
      </c>
      <c r="K80" s="45">
        <f t="shared" si="19"/>
        <v>7.9188878073377683E-2</v>
      </c>
    </row>
    <row r="81" spans="1:11" x14ac:dyDescent="0.2">
      <c r="A81" s="1">
        <v>2022</v>
      </c>
      <c r="B81" s="1" t="s">
        <v>8</v>
      </c>
      <c r="C81" s="1" t="str">
        <f t="shared" si="12"/>
        <v>22-Aug</v>
      </c>
      <c r="D81" s="4">
        <v>158</v>
      </c>
      <c r="E81" s="3">
        <f t="shared" si="13"/>
        <v>1344.0053174685906</v>
      </c>
      <c r="F81" s="3">
        <f t="shared" si="14"/>
        <v>6.1805866353976233</v>
      </c>
      <c r="G81" s="3">
        <f t="shared" si="15"/>
        <v>0.11774389175286272</v>
      </c>
      <c r="H81" s="3">
        <f t="shared" si="17"/>
        <v>158.47669679075779</v>
      </c>
      <c r="I81" s="2">
        <f t="shared" si="16"/>
        <v>-0.47669679075778504</v>
      </c>
      <c r="J81" s="41">
        <f t="shared" si="18"/>
        <v>0.22723983031877149</v>
      </c>
      <c r="K81" s="45">
        <f t="shared" si="19"/>
        <v>3.0170682959353482E-3</v>
      </c>
    </row>
    <row r="82" spans="1:11" x14ac:dyDescent="0.2">
      <c r="A82" s="1">
        <v>2022</v>
      </c>
      <c r="B82" s="1" t="s">
        <v>9</v>
      </c>
      <c r="C82" s="1" t="str">
        <f t="shared" si="12"/>
        <v>22-Sep</v>
      </c>
      <c r="D82" s="3">
        <v>2637</v>
      </c>
      <c r="E82" s="3">
        <f t="shared" si="13"/>
        <v>1322.8045672887438</v>
      </c>
      <c r="F82" s="3">
        <f t="shared" si="14"/>
        <v>2.7592125963206566</v>
      </c>
      <c r="G82" s="3">
        <f t="shared" si="15"/>
        <v>2.0744442728988219</v>
      </c>
      <c r="H82" s="3">
        <f t="shared" si="17"/>
        <v>2842.4885503886026</v>
      </c>
      <c r="I82" s="2">
        <f t="shared" si="16"/>
        <v>-205.48855038860256</v>
      </c>
      <c r="J82" s="41">
        <f t="shared" si="18"/>
        <v>42225.544340809254</v>
      </c>
      <c r="K82" s="45">
        <f t="shared" si="19"/>
        <v>7.7925123393478402E-2</v>
      </c>
    </row>
    <row r="83" spans="1:11" x14ac:dyDescent="0.2">
      <c r="A83" s="1">
        <v>2022</v>
      </c>
      <c r="B83" s="1" t="s">
        <v>10</v>
      </c>
      <c r="C83" s="1" t="str">
        <f t="shared" si="12"/>
        <v>22-Oct</v>
      </c>
      <c r="D83" s="3">
        <v>2294</v>
      </c>
      <c r="E83" s="3">
        <f t="shared" si="13"/>
        <v>1265.571386524854</v>
      </c>
      <c r="F83" s="3">
        <f t="shared" si="14"/>
        <v>-4.7370034785074147</v>
      </c>
      <c r="G83" s="3">
        <f t="shared" si="15"/>
        <v>1.994330084803221</v>
      </c>
      <c r="H83" s="3">
        <f t="shared" si="17"/>
        <v>2735.2932441953385</v>
      </c>
      <c r="I83" s="2">
        <f t="shared" si="16"/>
        <v>-441.2932441953385</v>
      </c>
      <c r="J83" s="41">
        <f t="shared" si="18"/>
        <v>194739.72737244665</v>
      </c>
      <c r="K83" s="45">
        <f t="shared" si="19"/>
        <v>0.1923684586727718</v>
      </c>
    </row>
    <row r="84" spans="1:11" x14ac:dyDescent="0.2">
      <c r="A84" s="1">
        <v>2022</v>
      </c>
      <c r="B84" s="1" t="s">
        <v>11</v>
      </c>
      <c r="C84" s="1" t="str">
        <f t="shared" si="12"/>
        <v>22-Nov</v>
      </c>
      <c r="D84" s="3">
        <v>2242</v>
      </c>
      <c r="E84" s="3">
        <f t="shared" si="13"/>
        <v>1259.5206663894453</v>
      </c>
      <c r="F84" s="3">
        <f t="shared" si="14"/>
        <v>-4.9011560213490286</v>
      </c>
      <c r="G84" s="3">
        <f t="shared" si="15"/>
        <v>1.783500498544194</v>
      </c>
      <c r="H84" s="3">
        <f t="shared" si="17"/>
        <v>2250.3584005691632</v>
      </c>
      <c r="I84" s="2">
        <f t="shared" si="16"/>
        <v>-8.3584005691632228</v>
      </c>
      <c r="J84" s="41">
        <f t="shared" si="18"/>
        <v>69.862860074588085</v>
      </c>
      <c r="K84" s="45">
        <f t="shared" si="19"/>
        <v>3.7281001646579941E-3</v>
      </c>
    </row>
    <row r="85" spans="1:11" x14ac:dyDescent="0.2">
      <c r="A85" s="1">
        <v>2022</v>
      </c>
      <c r="B85" s="1" t="s">
        <v>12</v>
      </c>
      <c r="C85" s="1" t="str">
        <f t="shared" si="12"/>
        <v>22-Dec</v>
      </c>
      <c r="D85" s="3">
        <v>2615</v>
      </c>
      <c r="E85" s="3">
        <f t="shared" si="13"/>
        <v>1219.5805712419483</v>
      </c>
      <c r="F85" s="3">
        <f t="shared" si="14"/>
        <v>-9.2793687248375321</v>
      </c>
      <c r="G85" s="3">
        <f t="shared" si="15"/>
        <v>2.2677203377161321</v>
      </c>
      <c r="H85" s="3">
        <f t="shared" si="17"/>
        <v>2904.122336839574</v>
      </c>
      <c r="I85" s="2">
        <f t="shared" si="16"/>
        <v>-289.12233683957402</v>
      </c>
      <c r="J85" s="41">
        <f t="shared" si="18"/>
        <v>83591.725659576099</v>
      </c>
      <c r="K85" s="45">
        <f t="shared" si="19"/>
        <v>0.11056303512029599</v>
      </c>
    </row>
    <row r="86" spans="1:11" x14ac:dyDescent="0.2">
      <c r="A86" s="1">
        <v>2023</v>
      </c>
      <c r="B86" s="1" t="s">
        <v>1</v>
      </c>
      <c r="C86" s="1" t="str">
        <f t="shared" si="12"/>
        <v>23-Jan</v>
      </c>
      <c r="D86" s="3">
        <v>1572</v>
      </c>
      <c r="E86" s="3">
        <f t="shared" si="13"/>
        <v>1248.1323789606199</v>
      </c>
      <c r="F86" s="3">
        <f t="shared" si="14"/>
        <v>-4.5522582179648374</v>
      </c>
      <c r="G86" s="3">
        <f t="shared" si="15"/>
        <v>1.1936805301177169</v>
      </c>
      <c r="H86" s="3">
        <f t="shared" si="17"/>
        <v>1414.3999206081721</v>
      </c>
      <c r="I86" s="2">
        <f t="shared" si="16"/>
        <v>157.60007939182788</v>
      </c>
      <c r="J86" s="41">
        <f t="shared" si="18"/>
        <v>24837.785024310451</v>
      </c>
      <c r="K86" s="45">
        <f t="shared" si="19"/>
        <v>0.10025450342991594</v>
      </c>
    </row>
    <row r="87" spans="1:11" x14ac:dyDescent="0.2">
      <c r="A87" s="1">
        <v>2023</v>
      </c>
      <c r="B87" s="1" t="s">
        <v>2</v>
      </c>
      <c r="C87" s="1" t="str">
        <f t="shared" si="12"/>
        <v>23-Feb</v>
      </c>
      <c r="D87" s="3">
        <v>1261</v>
      </c>
      <c r="E87" s="3">
        <f t="shared" si="13"/>
        <v>1263.6958892149369</v>
      </c>
      <c r="F87" s="3">
        <f t="shared" si="14"/>
        <v>-2.0387371108131029</v>
      </c>
      <c r="G87" s="3">
        <f t="shared" si="15"/>
        <v>0.96951655907371825</v>
      </c>
      <c r="H87" s="3">
        <f t="shared" si="17"/>
        <v>1192.2521982700202</v>
      </c>
      <c r="I87" s="2">
        <f t="shared" si="16"/>
        <v>68.747801729979756</v>
      </c>
      <c r="J87" s="41">
        <f t="shared" si="18"/>
        <v>4726.2602427046077</v>
      </c>
      <c r="K87" s="45">
        <f t="shared" si="19"/>
        <v>5.4518478770800759E-2</v>
      </c>
    </row>
    <row r="88" spans="1:11" x14ac:dyDescent="0.2">
      <c r="A88" s="1">
        <v>2023</v>
      </c>
      <c r="B88" s="1" t="s">
        <v>3</v>
      </c>
      <c r="C88" s="1" t="str">
        <f t="shared" si="12"/>
        <v>23-Mar</v>
      </c>
      <c r="D88" s="4">
        <v>985</v>
      </c>
      <c r="E88" s="3">
        <f t="shared" si="13"/>
        <v>1329.7234961506092</v>
      </c>
      <c r="F88" s="3">
        <f t="shared" si="14"/>
        <v>6.4663415136122326</v>
      </c>
      <c r="G88" s="3">
        <f t="shared" si="15"/>
        <v>0.67849103965647006</v>
      </c>
      <c r="H88" s="3">
        <f t="shared" si="17"/>
        <v>826.12220839696465</v>
      </c>
      <c r="I88" s="2">
        <f t="shared" si="16"/>
        <v>158.87779160303535</v>
      </c>
      <c r="J88" s="41">
        <f t="shared" si="18"/>
        <v>25242.152664657529</v>
      </c>
      <c r="K88" s="45">
        <f t="shared" si="19"/>
        <v>0.16129725035841153</v>
      </c>
    </row>
    <row r="89" spans="1:11" x14ac:dyDescent="0.2">
      <c r="A89" s="1">
        <v>2023</v>
      </c>
      <c r="B89" s="1" t="s">
        <v>4</v>
      </c>
      <c r="C89" s="1" t="str">
        <f t="shared" si="12"/>
        <v>23-Apr</v>
      </c>
      <c r="D89" s="4">
        <v>481</v>
      </c>
      <c r="E89" s="3">
        <f t="shared" si="13"/>
        <v>1339.9600057881505</v>
      </c>
      <c r="F89" s="3">
        <f t="shared" si="14"/>
        <v>6.9374344857780352</v>
      </c>
      <c r="G89" s="3">
        <f t="shared" si="15"/>
        <v>0.35710314029346724</v>
      </c>
      <c r="H89" s="3">
        <f t="shared" si="17"/>
        <v>476.2101815127665</v>
      </c>
      <c r="I89" s="2">
        <f t="shared" si="16"/>
        <v>4.7898184872335037</v>
      </c>
      <c r="J89" s="41">
        <f t="shared" si="18"/>
        <v>22.94236114064385</v>
      </c>
      <c r="K89" s="45">
        <f t="shared" si="19"/>
        <v>9.9580425930010479E-3</v>
      </c>
    </row>
    <row r="90" spans="1:11" x14ac:dyDescent="0.2">
      <c r="A90" s="1">
        <v>2023</v>
      </c>
      <c r="B90" s="1" t="s">
        <v>5</v>
      </c>
      <c r="C90" s="1" t="str">
        <f t="shared" si="12"/>
        <v>23-May</v>
      </c>
      <c r="D90" s="4">
        <v>158</v>
      </c>
      <c r="E90" s="3">
        <f t="shared" si="13"/>
        <v>1342.055495966096</v>
      </c>
      <c r="F90" s="3">
        <f t="shared" si="14"/>
        <v>6.332420104440323</v>
      </c>
      <c r="G90" s="3">
        <f t="shared" si="15"/>
        <v>0.11852627090274911</v>
      </c>
      <c r="H90" s="3">
        <f t="shared" si="17"/>
        <v>160.05102784488324</v>
      </c>
      <c r="I90" s="2">
        <f t="shared" si="16"/>
        <v>-2.0510278448832366</v>
      </c>
      <c r="J90" s="41">
        <f t="shared" si="18"/>
        <v>4.206715220486374</v>
      </c>
      <c r="K90" s="45">
        <f t="shared" si="19"/>
        <v>1.2981188891666055E-2</v>
      </c>
    </row>
    <row r="91" spans="1:11" x14ac:dyDescent="0.2">
      <c r="A91" s="1">
        <v>2023</v>
      </c>
      <c r="B91" s="1" t="s">
        <v>6</v>
      </c>
      <c r="C91" s="1" t="str">
        <f t="shared" si="12"/>
        <v>23-Jun</v>
      </c>
      <c r="D91" s="4">
        <v>82</v>
      </c>
      <c r="E91" s="3">
        <f t="shared" si="13"/>
        <v>1353.6661904545201</v>
      </c>
      <c r="F91" s="3">
        <f t="shared" si="14"/>
        <v>6.9919551399405888</v>
      </c>
      <c r="G91" s="3">
        <f t="shared" si="15"/>
        <v>6.0141796590265653E-2</v>
      </c>
      <c r="H91" s="3">
        <f t="shared" si="17"/>
        <v>80.871502889477483</v>
      </c>
      <c r="I91" s="2">
        <f t="shared" si="16"/>
        <v>1.1284971105225168</v>
      </c>
      <c r="J91" s="41">
        <f t="shared" si="18"/>
        <v>1.2735057284576694</v>
      </c>
      <c r="K91" s="45">
        <f t="shared" si="19"/>
        <v>1.3762159884420937E-2</v>
      </c>
    </row>
    <row r="92" spans="1:11" x14ac:dyDescent="0.2">
      <c r="A92" s="1">
        <v>2023</v>
      </c>
      <c r="B92" s="1" t="s">
        <v>7</v>
      </c>
      <c r="C92" s="1" t="str">
        <f t="shared" si="12"/>
        <v>23-Jul</v>
      </c>
      <c r="D92" s="4">
        <v>84</v>
      </c>
      <c r="E92" s="3">
        <f t="shared" si="13"/>
        <v>1372.4367312853301</v>
      </c>
      <c r="F92" s="3">
        <f t="shared" si="14"/>
        <v>8.463722116538591</v>
      </c>
      <c r="G92" s="3">
        <f t="shared" si="15"/>
        <v>6.0250238115974054E-2</v>
      </c>
      <c r="H92" s="3">
        <f t="shared" si="17"/>
        <v>81.485496398099869</v>
      </c>
      <c r="I92" s="2">
        <f t="shared" si="16"/>
        <v>2.514503601900131</v>
      </c>
      <c r="J92" s="41">
        <f t="shared" si="18"/>
        <v>6.3227283639687322</v>
      </c>
      <c r="K92" s="45">
        <f t="shared" si="19"/>
        <v>2.9934566689287272E-2</v>
      </c>
    </row>
    <row r="93" spans="1:11" x14ac:dyDescent="0.2">
      <c r="A93" s="1">
        <v>2023</v>
      </c>
      <c r="B93" s="1" t="s">
        <v>8</v>
      </c>
      <c r="C93" s="1" t="str">
        <f t="shared" si="12"/>
        <v>23-Aug</v>
      </c>
      <c r="D93" s="4">
        <v>168</v>
      </c>
      <c r="E93" s="3">
        <f t="shared" si="13"/>
        <v>1393.7836254110268</v>
      </c>
      <c r="F93" s="3">
        <f t="shared" si="14"/>
        <v>10.073510219672997</v>
      </c>
      <c r="G93" s="3">
        <f t="shared" si="15"/>
        <v>0.11851343706749107</v>
      </c>
      <c r="H93" s="3">
        <f t="shared" si="17"/>
        <v>162.59259350682868</v>
      </c>
      <c r="I93" s="2">
        <f t="shared" si="16"/>
        <v>5.4074064931713224</v>
      </c>
      <c r="J93" s="41">
        <f t="shared" si="18"/>
        <v>29.240044982391378</v>
      </c>
      <c r="K93" s="45">
        <f t="shared" si="19"/>
        <v>3.2186943411734059E-2</v>
      </c>
    </row>
    <row r="94" spans="1:11" x14ac:dyDescent="0.2">
      <c r="A94" s="1">
        <v>2023</v>
      </c>
      <c r="B94" s="1" t="s">
        <v>9</v>
      </c>
      <c r="C94" s="1" t="str">
        <f t="shared" si="12"/>
        <v>23-Sep</v>
      </c>
      <c r="D94" s="3">
        <v>2773</v>
      </c>
      <c r="E94" s="3">
        <f t="shared" si="13"/>
        <v>1385.0300706875487</v>
      </c>
      <c r="F94" s="3">
        <f t="shared" si="14"/>
        <v>7.7210161956175014</v>
      </c>
      <c r="G94" s="3">
        <f t="shared" si="15"/>
        <v>2.0545057236476341</v>
      </c>
      <c r="H94" s="3">
        <f t="shared" si="17"/>
        <v>2912.2233949772499</v>
      </c>
      <c r="I94" s="2">
        <f t="shared" si="16"/>
        <v>-139.22339497724988</v>
      </c>
      <c r="J94" s="41">
        <f t="shared" si="18"/>
        <v>19383.153708991329</v>
      </c>
      <c r="K94" s="45">
        <f t="shared" si="19"/>
        <v>5.0206777849711462E-2</v>
      </c>
    </row>
    <row r="95" spans="1:11" x14ac:dyDescent="0.2">
      <c r="A95" s="1">
        <v>2023</v>
      </c>
      <c r="B95" s="1" t="s">
        <v>10</v>
      </c>
      <c r="C95" s="1" t="str">
        <f t="shared" si="12"/>
        <v>23-Oct</v>
      </c>
      <c r="D95" s="3">
        <v>2804</v>
      </c>
      <c r="E95" s="3">
        <f t="shared" si="13"/>
        <v>1396.4637909110302</v>
      </c>
      <c r="F95" s="3">
        <f t="shared" si="14"/>
        <v>8.1849288694734472</v>
      </c>
      <c r="G95" s="3">
        <f t="shared" si="15"/>
        <v>1.9980791764361059</v>
      </c>
      <c r="H95" s="3">
        <f t="shared" si="17"/>
        <v>2777.6053932134832</v>
      </c>
      <c r="I95" s="2">
        <f t="shared" si="16"/>
        <v>26.394606786516761</v>
      </c>
      <c r="J95" s="41">
        <f t="shared" si="18"/>
        <v>696.67526741483664</v>
      </c>
      <c r="K95" s="45">
        <f t="shared" si="19"/>
        <v>9.4131978553911415E-3</v>
      </c>
    </row>
    <row r="96" spans="1:11" x14ac:dyDescent="0.2">
      <c r="A96" s="1">
        <v>2023</v>
      </c>
      <c r="B96" s="1" t="s">
        <v>11</v>
      </c>
      <c r="C96" s="1" t="str">
        <f t="shared" si="12"/>
        <v>23-Nov</v>
      </c>
      <c r="D96" s="3">
        <v>2000</v>
      </c>
      <c r="E96" s="3">
        <f t="shared" si="13"/>
        <v>1325.187516331066</v>
      </c>
      <c r="F96" s="3">
        <f t="shared" si="14"/>
        <v>-1.7439690667426531</v>
      </c>
      <c r="G96" s="3">
        <f t="shared" si="15"/>
        <v>1.7078835057508215</v>
      </c>
      <c r="H96" s="3">
        <f t="shared" si="17"/>
        <v>2505.1916920079921</v>
      </c>
      <c r="I96" s="2">
        <f t="shared" si="16"/>
        <v>-505.19169200799206</v>
      </c>
      <c r="J96" s="41">
        <f t="shared" si="18"/>
        <v>255218.6456738979</v>
      </c>
      <c r="K96" s="45">
        <f t="shared" si="19"/>
        <v>0.25259584600399604</v>
      </c>
    </row>
    <row r="97" spans="1:11" x14ac:dyDescent="0.2">
      <c r="A97" s="1">
        <v>2023</v>
      </c>
      <c r="B97" s="1" t="s">
        <v>12</v>
      </c>
      <c r="C97" s="1" t="str">
        <f t="shared" si="12"/>
        <v>23-Dec</v>
      </c>
      <c r="D97" s="3">
        <v>3650</v>
      </c>
      <c r="E97" s="3">
        <f t="shared" si="13"/>
        <v>1403.7025245597604</v>
      </c>
      <c r="F97" s="3">
        <f t="shared" si="14"/>
        <v>8.2846129259595891</v>
      </c>
      <c r="G97" s="3">
        <f t="shared" si="15"/>
        <v>2.3594007167455109</v>
      </c>
      <c r="H97" s="3">
        <f t="shared" si="17"/>
        <v>3001.1998479504873</v>
      </c>
      <c r="I97" s="2">
        <f t="shared" si="16"/>
        <v>648.80015204951269</v>
      </c>
      <c r="J97" s="41">
        <f t="shared" si="18"/>
        <v>420941.63729947078</v>
      </c>
      <c r="K97" s="45">
        <f t="shared" si="19"/>
        <v>0.17775346631493499</v>
      </c>
    </row>
    <row r="98" spans="1:11" x14ac:dyDescent="0.2">
      <c r="A98" s="1">
        <v>2024</v>
      </c>
      <c r="B98" s="1" t="s">
        <v>1</v>
      </c>
      <c r="C98" s="1" t="str">
        <f t="shared" si="12"/>
        <v>24-Jan</v>
      </c>
      <c r="D98" s="3">
        <v>1520</v>
      </c>
      <c r="E98" s="3">
        <f t="shared" si="13"/>
        <v>1373.102221574653</v>
      </c>
      <c r="F98" s="3">
        <f t="shared" si="14"/>
        <v>3.4258347476879578</v>
      </c>
      <c r="G98" s="3">
        <f t="shared" si="15"/>
        <v>1.1697785011025326</v>
      </c>
      <c r="H98" s="3">
        <f t="shared" si="17"/>
        <v>1685.461554793352</v>
      </c>
      <c r="I98" s="2">
        <f t="shared" si="16"/>
        <v>-165.46155479335198</v>
      </c>
      <c r="J98" s="41">
        <f t="shared" si="18"/>
        <v>27377.52611463342</v>
      </c>
      <c r="K98" s="45">
        <f t="shared" si="19"/>
        <v>0.10885628604825788</v>
      </c>
    </row>
    <row r="99" spans="1:11" x14ac:dyDescent="0.2">
      <c r="A99" s="1">
        <v>2024</v>
      </c>
      <c r="B99" s="1" t="s">
        <v>2</v>
      </c>
      <c r="C99" s="1" t="str">
        <f t="shared" si="12"/>
        <v>24-Feb</v>
      </c>
      <c r="D99" s="3">
        <v>1340</v>
      </c>
      <c r="E99" s="3">
        <f t="shared" si="13"/>
        <v>1378.1001450724541</v>
      </c>
      <c r="F99" s="3">
        <f t="shared" si="14"/>
        <v>3.6222716007552491</v>
      </c>
      <c r="G99" s="3">
        <f t="shared" si="15"/>
        <v>0.97029858270580838</v>
      </c>
      <c r="H99" s="3">
        <f t="shared" si="17"/>
        <v>1334.5667446340694</v>
      </c>
      <c r="I99" s="2">
        <f t="shared" si="16"/>
        <v>5.4332553659305631</v>
      </c>
      <c r="J99" s="41">
        <f t="shared" si="18"/>
        <v>29.520263871413256</v>
      </c>
      <c r="K99" s="45">
        <f t="shared" si="19"/>
        <v>4.0546681835302708E-3</v>
      </c>
    </row>
    <row r="100" spans="1:11" x14ac:dyDescent="0.2">
      <c r="A100" s="1">
        <v>2024</v>
      </c>
      <c r="B100" s="1" t="s">
        <v>3</v>
      </c>
      <c r="C100" s="1" t="str">
        <f t="shared" si="12"/>
        <v>24-Mar</v>
      </c>
      <c r="D100" s="4">
        <v>1014</v>
      </c>
      <c r="E100" s="3">
        <f t="shared" si="13"/>
        <v>1413.357383236447</v>
      </c>
      <c r="F100" s="3">
        <f t="shared" si="14"/>
        <v>7.5751484838981415</v>
      </c>
      <c r="G100" s="3">
        <f t="shared" si="15"/>
        <v>0.68922915016622432</v>
      </c>
      <c r="H100" s="3">
        <f t="shared" si="17"/>
        <v>937.48627900525616</v>
      </c>
      <c r="I100" s="2">
        <f t="shared" si="16"/>
        <v>76.513720994743835</v>
      </c>
      <c r="J100" s="41">
        <f t="shared" si="18"/>
        <v>5854.3495004615033</v>
      </c>
      <c r="K100" s="45">
        <f t="shared" si="19"/>
        <v>7.5457318535250326E-2</v>
      </c>
    </row>
    <row r="101" spans="1:11" x14ac:dyDescent="0.2">
      <c r="A101" s="1">
        <v>2024</v>
      </c>
      <c r="B101" s="1" t="s">
        <v>4</v>
      </c>
      <c r="C101" s="1" t="str">
        <f t="shared" si="12"/>
        <v>24-Apr</v>
      </c>
      <c r="D101" s="4">
        <v>515</v>
      </c>
      <c r="E101" s="3">
        <f t="shared" si="13"/>
        <v>1426.8874817220328</v>
      </c>
      <c r="F101" s="3">
        <f t="shared" si="14"/>
        <v>8.3192360161194365</v>
      </c>
      <c r="G101" s="3">
        <f t="shared" si="15"/>
        <v>0.35815692144336553</v>
      </c>
      <c r="H101" s="3">
        <f t="shared" si="17"/>
        <v>507.41946922248201</v>
      </c>
      <c r="I101" s="2">
        <f t="shared" si="16"/>
        <v>7.5805307775179926</v>
      </c>
      <c r="J101" s="41">
        <f t="shared" si="18"/>
        <v>57.464446868897539</v>
      </c>
      <c r="K101" s="45">
        <f t="shared" si="19"/>
        <v>1.4719477237899015E-2</v>
      </c>
    </row>
    <row r="102" spans="1:11" x14ac:dyDescent="0.2">
      <c r="A102" s="1">
        <v>2024</v>
      </c>
      <c r="B102" s="1" t="s">
        <v>5</v>
      </c>
      <c r="C102" s="1" t="str">
        <f t="shared" si="12"/>
        <v>24-May</v>
      </c>
      <c r="D102" s="4">
        <v>187</v>
      </c>
      <c r="E102" s="3">
        <f t="shared" si="13"/>
        <v>1475.182310316276</v>
      </c>
      <c r="F102" s="3">
        <f t="shared" si="14"/>
        <v>13.314297271396182</v>
      </c>
      <c r="G102" s="3">
        <f t="shared" si="15"/>
        <v>0.12079734968461214</v>
      </c>
      <c r="H102" s="3">
        <f t="shared" si="17"/>
        <v>170.10970022807763</v>
      </c>
      <c r="I102" s="2">
        <f t="shared" si="16"/>
        <v>16.890299771922372</v>
      </c>
      <c r="J102" s="41">
        <f t="shared" si="18"/>
        <v>285.28222638540092</v>
      </c>
      <c r="K102" s="45">
        <f t="shared" si="19"/>
        <v>9.0322458673381664E-2</v>
      </c>
    </row>
    <row r="103" spans="1:11" x14ac:dyDescent="0.2">
      <c r="A103" s="1">
        <v>2024</v>
      </c>
      <c r="B103" s="1" t="s">
        <v>6</v>
      </c>
      <c r="C103" s="1" t="str">
        <f t="shared" si="12"/>
        <v>24-Jun</v>
      </c>
      <c r="D103" s="4">
        <v>90</v>
      </c>
      <c r="E103" s="3">
        <f t="shared" si="13"/>
        <v>1490.7315072210579</v>
      </c>
      <c r="F103" s="3">
        <f t="shared" si="14"/>
        <v>13.593554184132133</v>
      </c>
      <c r="G103" s="3">
        <f t="shared" si="15"/>
        <v>6.0205549991001403E-2</v>
      </c>
      <c r="H103" s="3">
        <f t="shared" si="17"/>
        <v>89.52086019883825</v>
      </c>
      <c r="I103" s="2">
        <f t="shared" si="16"/>
        <v>0.47913980116175026</v>
      </c>
      <c r="J103" s="41">
        <f t="shared" si="18"/>
        <v>0.22957494905732156</v>
      </c>
      <c r="K103" s="45">
        <f t="shared" si="19"/>
        <v>5.3237755684638916E-3</v>
      </c>
    </row>
    <row r="104" spans="1:11" x14ac:dyDescent="0.2">
      <c r="A104" s="1">
        <v>2024</v>
      </c>
      <c r="B104" s="1" t="s">
        <v>7</v>
      </c>
      <c r="C104" s="1" t="str">
        <f t="shared" si="12"/>
        <v>24-Jul</v>
      </c>
      <c r="D104" s="4">
        <v>78</v>
      </c>
      <c r="E104" s="3">
        <f t="shared" si="13"/>
        <v>1445.4920512706205</v>
      </c>
      <c r="F104" s="3">
        <f t="shared" si="14"/>
        <v>6.2422062615171736</v>
      </c>
      <c r="G104" s="3">
        <f t="shared" si="15"/>
        <v>5.8516304390939758E-2</v>
      </c>
      <c r="H104" s="3">
        <f t="shared" si="17"/>
        <v>90.63594315348999</v>
      </c>
      <c r="I104" s="2">
        <f t="shared" si="16"/>
        <v>-12.63594315348999</v>
      </c>
      <c r="J104" s="41">
        <f t="shared" si="18"/>
        <v>159.66705937823053</v>
      </c>
      <c r="K104" s="45">
        <f t="shared" si="19"/>
        <v>0.16199927119858962</v>
      </c>
    </row>
    <row r="105" spans="1:11" x14ac:dyDescent="0.2">
      <c r="A105" s="1">
        <v>2024</v>
      </c>
      <c r="B105" s="1" t="s">
        <v>8</v>
      </c>
      <c r="C105" s="1" t="str">
        <f t="shared" si="12"/>
        <v>24-Aug</v>
      </c>
      <c r="D105" s="4">
        <v>169</v>
      </c>
      <c r="E105" s="3">
        <f t="shared" si="13"/>
        <v>1444.5147632211047</v>
      </c>
      <c r="F105" s="3">
        <f t="shared" si="14"/>
        <v>5.3401104077719905</v>
      </c>
      <c r="G105" s="3">
        <f t="shared" si="15"/>
        <v>0.11809462349064377</v>
      </c>
      <c r="H105" s="3">
        <f t="shared" si="17"/>
        <v>172.05001656875586</v>
      </c>
      <c r="I105" s="2">
        <f t="shared" si="16"/>
        <v>-3.0500165687558649</v>
      </c>
      <c r="J105" s="41">
        <f t="shared" si="18"/>
        <v>9.3026010696853003</v>
      </c>
      <c r="K105" s="45">
        <f t="shared" si="19"/>
        <v>1.804743531808204E-2</v>
      </c>
    </row>
    <row r="106" spans="1:11" x14ac:dyDescent="0.2">
      <c r="A106" s="1">
        <v>2024</v>
      </c>
      <c r="B106" s="1" t="s">
        <v>9</v>
      </c>
      <c r="C106" s="1" t="str">
        <f t="shared" si="12"/>
        <v>24-Sep</v>
      </c>
      <c r="D106" s="3">
        <v>3058</v>
      </c>
      <c r="E106" s="3">
        <f t="shared" si="13"/>
        <v>1460.6778207089328</v>
      </c>
      <c r="F106" s="3">
        <f t="shared" si="14"/>
        <v>6.6924676873257054</v>
      </c>
      <c r="G106" s="3">
        <f t="shared" si="15"/>
        <v>2.0652695534044589</v>
      </c>
      <c r="H106" s="3">
        <f t="shared" si="17"/>
        <v>2978.7351363289445</v>
      </c>
      <c r="I106" s="2">
        <f t="shared" si="16"/>
        <v>79.264863671055537</v>
      </c>
      <c r="J106" s="41">
        <f t="shared" si="18"/>
        <v>6282.9186127910198</v>
      </c>
      <c r="K106" s="45">
        <f t="shared" si="19"/>
        <v>2.5920491717153545E-2</v>
      </c>
    </row>
    <row r="107" spans="1:11" x14ac:dyDescent="0.2">
      <c r="A107" s="1">
        <v>2024</v>
      </c>
      <c r="B107" s="1" t="s">
        <v>10</v>
      </c>
      <c r="C107" s="1" t="str">
        <f t="shared" si="12"/>
        <v>24-Oct</v>
      </c>
      <c r="D107" s="3">
        <v>3302</v>
      </c>
      <c r="E107" s="3">
        <f t="shared" si="13"/>
        <v>1519.328324542937</v>
      </c>
      <c r="F107" s="3">
        <f t="shared" si="14"/>
        <v>13.184768526877729</v>
      </c>
      <c r="G107" s="3">
        <f t="shared" si="15"/>
        <v>2.0463941951115769</v>
      </c>
      <c r="H107" s="3">
        <f t="shared" si="17"/>
        <v>2931.9220173656072</v>
      </c>
      <c r="I107" s="2">
        <f t="shared" si="16"/>
        <v>370.07798263439281</v>
      </c>
      <c r="J107" s="41">
        <f t="shared" si="18"/>
        <v>136957.71323074194</v>
      </c>
      <c r="K107" s="45">
        <f t="shared" si="19"/>
        <v>0.11207691781780521</v>
      </c>
    </row>
    <row r="108" spans="1:11" x14ac:dyDescent="0.2">
      <c r="A108" s="1">
        <v>2024</v>
      </c>
      <c r="B108" s="1" t="s">
        <v>11</v>
      </c>
      <c r="C108" s="1" t="str">
        <f t="shared" si="12"/>
        <v>24-Nov</v>
      </c>
      <c r="D108" s="3">
        <v>2279</v>
      </c>
      <c r="E108" s="3">
        <f t="shared" si="13"/>
        <v>1476.9373816031969</v>
      </c>
      <c r="F108" s="3">
        <f t="shared" si="14"/>
        <v>6.240429114301798</v>
      </c>
      <c r="G108" s="3">
        <f t="shared" si="15"/>
        <v>1.6624423302570377</v>
      </c>
      <c r="H108" s="3">
        <f t="shared" si="17"/>
        <v>2617.35383400111</v>
      </c>
      <c r="I108" s="2">
        <f t="shared" si="16"/>
        <v>-338.35383400111004</v>
      </c>
      <c r="J108" s="41">
        <f t="shared" si="18"/>
        <v>114483.31698325073</v>
      </c>
      <c r="K108" s="45">
        <f t="shared" si="19"/>
        <v>0.14846592101847741</v>
      </c>
    </row>
    <row r="109" spans="1:11" x14ac:dyDescent="0.2">
      <c r="A109" s="1">
        <v>2024</v>
      </c>
      <c r="B109" s="1" t="s">
        <v>12</v>
      </c>
      <c r="C109" s="1" t="str">
        <f t="shared" si="12"/>
        <v>24-Dec</v>
      </c>
      <c r="D109" s="3">
        <v>3267</v>
      </c>
      <c r="E109" s="3">
        <f t="shared" si="13"/>
        <v>1455.5448924352302</v>
      </c>
      <c r="F109" s="3">
        <f t="shared" si="14"/>
        <v>2.7876192725904763</v>
      </c>
      <c r="G109" s="3">
        <f t="shared" si="15"/>
        <v>2.3277290280693173</v>
      </c>
      <c r="H109" s="3">
        <f t="shared" si="17"/>
        <v>3499.4107896679043</v>
      </c>
      <c r="I109" s="2">
        <f t="shared" si="16"/>
        <v>-232.41078966790428</v>
      </c>
      <c r="J109" s="41">
        <f t="shared" si="18"/>
        <v>54014.775154058843</v>
      </c>
      <c r="K109" s="45">
        <f t="shared" si="19"/>
        <v>7.1138901030885909E-2</v>
      </c>
    </row>
    <row r="110" spans="1:11" x14ac:dyDescent="0.2">
      <c r="A110" s="1">
        <v>2025</v>
      </c>
      <c r="B110" s="1" t="s">
        <v>1</v>
      </c>
      <c r="C110" s="1" t="str">
        <f t="shared" si="12"/>
        <v>25-Jan</v>
      </c>
      <c r="D110" s="3">
        <v>1772</v>
      </c>
      <c r="E110" s="3">
        <f t="shared" ref="E110:E121" si="20">$M$17*(D110/G98)+(1-$M$17)*(E109+F109)</f>
        <v>1474.1777585026755</v>
      </c>
      <c r="F110" s="3">
        <f t="shared" ref="F110:F121" si="21">$N$17*(E110-E109)+(1-$N$17)*F109</f>
        <v>4.7675268422056014</v>
      </c>
      <c r="G110" s="3">
        <f t="shared" ref="G110:G121" si="22">$O$17*(D110/E110)+(1-$O$17)*G98</f>
        <v>1.178668898073898</v>
      </c>
      <c r="H110" s="3">
        <f t="shared" si="17"/>
        <v>1705.9260196546661</v>
      </c>
      <c r="I110" s="2">
        <f t="shared" si="16"/>
        <v>66.073980345333894</v>
      </c>
      <c r="J110" s="41">
        <f t="shared" si="18"/>
        <v>4365.7708786755693</v>
      </c>
      <c r="K110" s="45">
        <f t="shared" si="19"/>
        <v>3.7287799291949149E-2</v>
      </c>
    </row>
    <row r="111" spans="1:11" x14ac:dyDescent="0.2">
      <c r="A111" s="1">
        <v>2025</v>
      </c>
      <c r="B111" s="1" t="s">
        <v>2</v>
      </c>
      <c r="C111" s="1" t="str">
        <f t="shared" si="12"/>
        <v>25-Feb</v>
      </c>
      <c r="D111" s="3">
        <v>1320</v>
      </c>
      <c r="E111" s="3">
        <f t="shared" si="20"/>
        <v>1445.6920022385905</v>
      </c>
      <c r="F111" s="3">
        <f t="shared" si="21"/>
        <v>0.6124368149503514</v>
      </c>
      <c r="G111" s="3">
        <f t="shared" si="22"/>
        <v>0.95451765562647839</v>
      </c>
      <c r="H111" s="3">
        <f t="shared" si="17"/>
        <v>1435.0185142695755</v>
      </c>
      <c r="I111" s="2">
        <f t="shared" si="16"/>
        <v>-115.01851426957546</v>
      </c>
      <c r="J111" s="41">
        <f t="shared" si="18"/>
        <v>13229.258624780534</v>
      </c>
      <c r="K111" s="45">
        <f t="shared" si="19"/>
        <v>8.7135238083011712E-2</v>
      </c>
    </row>
    <row r="112" spans="1:11" x14ac:dyDescent="0.2">
      <c r="A112" s="1">
        <v>2025</v>
      </c>
      <c r="B112" s="1" t="s">
        <v>3</v>
      </c>
      <c r="C112" s="1" t="str">
        <f t="shared" si="12"/>
        <v>25-Mar</v>
      </c>
      <c r="D112" s="3">
        <v>998</v>
      </c>
      <c r="E112" s="3">
        <f t="shared" si="20"/>
        <v>1446.7785364549802</v>
      </c>
      <c r="F112" s="3">
        <f t="shared" si="21"/>
        <v>0.67167660124067896</v>
      </c>
      <c r="G112" s="3">
        <f t="shared" si="22"/>
        <v>0.68938884744636608</v>
      </c>
      <c r="H112" s="3">
        <f t="shared" si="17"/>
        <v>996.83517941050968</v>
      </c>
      <c r="I112" s="2">
        <f t="shared" si="16"/>
        <v>1.1648205894903185</v>
      </c>
      <c r="J112" s="41">
        <f t="shared" si="18"/>
        <v>1.3568070057005732</v>
      </c>
      <c r="K112" s="45">
        <f t="shared" si="19"/>
        <v>1.1671548992888963E-3</v>
      </c>
    </row>
    <row r="113" spans="1:13" x14ac:dyDescent="0.2">
      <c r="A113" s="1">
        <v>2025</v>
      </c>
      <c r="B113" s="1" t="s">
        <v>4</v>
      </c>
      <c r="C113" s="1" t="str">
        <f t="shared" si="12"/>
        <v>25-Apr</v>
      </c>
      <c r="D113" s="4">
        <v>501</v>
      </c>
      <c r="E113" s="3">
        <f t="shared" si="20"/>
        <v>1433.8105025621705</v>
      </c>
      <c r="F113" s="3">
        <f t="shared" si="21"/>
        <v>-1.0326430855500719</v>
      </c>
      <c r="G113" s="3">
        <f t="shared" si="22"/>
        <v>0.35574781988654308</v>
      </c>
      <c r="H113" s="3">
        <f t="shared" si="17"/>
        <v>518.41431225075962</v>
      </c>
      <c r="I113" s="2">
        <f t="shared" si="16"/>
        <v>-17.414312250759622</v>
      </c>
      <c r="J113" s="41">
        <f t="shared" si="18"/>
        <v>303.25827116695666</v>
      </c>
      <c r="K113" s="45">
        <f t="shared" si="19"/>
        <v>3.4759106288941362E-2</v>
      </c>
    </row>
    <row r="114" spans="1:13" x14ac:dyDescent="0.2">
      <c r="A114" s="1">
        <v>2025</v>
      </c>
      <c r="B114" s="1" t="s">
        <v>5</v>
      </c>
      <c r="C114" s="1" t="str">
        <f t="shared" si="12"/>
        <v>25-May</v>
      </c>
      <c r="D114" s="4">
        <v>175</v>
      </c>
      <c r="E114" s="3">
        <f t="shared" si="20"/>
        <v>1437.2464666159053</v>
      </c>
      <c r="F114" s="3">
        <f t="shared" si="21"/>
        <v>-0.47427821971666978</v>
      </c>
      <c r="G114" s="3">
        <f t="shared" si="22"/>
        <v>0.12106291215254913</v>
      </c>
      <c r="H114" s="3">
        <f t="shared" si="17"/>
        <v>173.07576811156741</v>
      </c>
      <c r="I114" s="2">
        <f t="shared" si="16"/>
        <v>1.9242318884325869</v>
      </c>
      <c r="J114" s="41">
        <f t="shared" si="18"/>
        <v>3.7026683604608395</v>
      </c>
      <c r="K114" s="45">
        <f t="shared" si="19"/>
        <v>1.0995610791043353E-2</v>
      </c>
    </row>
    <row r="115" spans="1:13" x14ac:dyDescent="0.2">
      <c r="A115" s="1">
        <v>2025</v>
      </c>
      <c r="B115" s="1" t="s">
        <v>6</v>
      </c>
      <c r="C115" s="1" t="str">
        <f t="shared" si="12"/>
        <v>25-Jun</v>
      </c>
      <c r="D115" s="4">
        <v>90</v>
      </c>
      <c r="E115" s="3">
        <f t="shared" si="20"/>
        <v>1453.072566716068</v>
      </c>
      <c r="F115" s="3">
        <f t="shared" si="21"/>
        <v>1.5624992972860245</v>
      </c>
      <c r="G115" s="3">
        <f t="shared" si="22"/>
        <v>6.0683096058869887E-2</v>
      </c>
      <c r="H115" s="3">
        <f t="shared" si="17"/>
        <v>86.501659814167212</v>
      </c>
      <c r="I115" s="2">
        <f t="shared" si="16"/>
        <v>3.4983401858327881</v>
      </c>
      <c r="J115" s="41">
        <f t="shared" si="18"/>
        <v>12.238384055812586</v>
      </c>
      <c r="K115" s="45">
        <f t="shared" si="19"/>
        <v>3.8870446509253198E-2</v>
      </c>
    </row>
    <row r="116" spans="1:13" x14ac:dyDescent="0.2">
      <c r="A116" s="1">
        <v>2025</v>
      </c>
      <c r="B116" s="1" t="s">
        <v>7</v>
      </c>
      <c r="C116" s="1" t="str">
        <f t="shared" si="12"/>
        <v>25-Jul</v>
      </c>
      <c r="D116" s="4">
        <v>84</v>
      </c>
      <c r="E116" s="3">
        <f t="shared" si="20"/>
        <v>1449.2664513337272</v>
      </c>
      <c r="F116" s="3">
        <f t="shared" si="21"/>
        <v>0.89167599108220919</v>
      </c>
      <c r="G116" s="3">
        <f t="shared" si="22"/>
        <v>5.8363033652188256E-2</v>
      </c>
      <c r="H116" s="3">
        <f t="shared" si="17"/>
        <v>85.119868300572165</v>
      </c>
      <c r="I116" s="2">
        <f t="shared" si="16"/>
        <v>-1.1198683005721648</v>
      </c>
      <c r="J116" s="41">
        <f t="shared" si="18"/>
        <v>1.2541050106263885</v>
      </c>
      <c r="K116" s="45">
        <f t="shared" si="19"/>
        <v>1.3331765483001962E-2</v>
      </c>
    </row>
    <row r="117" spans="1:13" x14ac:dyDescent="0.2">
      <c r="A117" s="1">
        <v>2025</v>
      </c>
      <c r="B117" s="1" t="s">
        <v>8</v>
      </c>
      <c r="C117" s="1" t="str">
        <f t="shared" si="12"/>
        <v>25-Aug</v>
      </c>
      <c r="D117" s="4">
        <v>182</v>
      </c>
      <c r="E117" s="3">
        <f t="shared" si="20"/>
        <v>1475.6800257979794</v>
      </c>
      <c r="F117" s="3">
        <f t="shared" si="21"/>
        <v>4.0807080479628892</v>
      </c>
      <c r="G117" s="3">
        <f t="shared" si="22"/>
        <v>0.11953879664745887</v>
      </c>
      <c r="H117" s="3">
        <f t="shared" si="17"/>
        <v>171.25587804832043</v>
      </c>
      <c r="I117" s="2">
        <f t="shared" si="16"/>
        <v>10.744121951679574</v>
      </c>
      <c r="J117" s="41">
        <f t="shared" si="18"/>
        <v>115.4361565125629</v>
      </c>
      <c r="K117" s="45">
        <f t="shared" si="19"/>
        <v>5.9033637097140518E-2</v>
      </c>
    </row>
    <row r="118" spans="1:13" x14ac:dyDescent="0.2">
      <c r="A118" s="1">
        <v>2025</v>
      </c>
      <c r="B118" s="1" t="s">
        <v>9</v>
      </c>
      <c r="C118" s="1" t="str">
        <f t="shared" si="12"/>
        <v>25-Sep</v>
      </c>
      <c r="D118" s="3">
        <v>3076</v>
      </c>
      <c r="E118" s="3">
        <f t="shared" si="20"/>
        <v>1482.4630985494925</v>
      </c>
      <c r="F118" s="3">
        <f t="shared" si="21"/>
        <v>4.4183760187866215</v>
      </c>
      <c r="G118" s="3">
        <f t="shared" si="22"/>
        <v>2.0679315357778791</v>
      </c>
      <c r="H118" s="3">
        <f t="shared" si="17"/>
        <v>3056.1047899354635</v>
      </c>
      <c r="I118" s="2">
        <f t="shared" si="16"/>
        <v>19.895210064536514</v>
      </c>
      <c r="J118" s="41">
        <f t="shared" si="18"/>
        <v>395.81938351203496</v>
      </c>
      <c r="K118" s="45">
        <f t="shared" si="19"/>
        <v>6.4678836360651864E-3</v>
      </c>
    </row>
    <row r="119" spans="1:13" x14ac:dyDescent="0.2">
      <c r="A119" s="1">
        <v>2025</v>
      </c>
      <c r="B119" s="1" t="s">
        <v>10</v>
      </c>
      <c r="C119" s="1" t="str">
        <f t="shared" si="12"/>
        <v>25-Oct</v>
      </c>
      <c r="D119" s="3">
        <v>2801</v>
      </c>
      <c r="E119" s="3">
        <f t="shared" si="20"/>
        <v>1453.7423150562668</v>
      </c>
      <c r="F119" s="3">
        <f t="shared" si="21"/>
        <v>0.27754605141611144</v>
      </c>
      <c r="G119" s="3">
        <f t="shared" si="22"/>
        <v>2.0134095574675022</v>
      </c>
      <c r="H119" s="3">
        <f t="shared" si="17"/>
        <v>3042.7456183754684</v>
      </c>
      <c r="I119" s="2">
        <f t="shared" si="16"/>
        <v>-241.74561837546844</v>
      </c>
      <c r="J119" s="41">
        <f t="shared" si="18"/>
        <v>58440.944003737626</v>
      </c>
      <c r="K119" s="45">
        <f t="shared" si="19"/>
        <v>8.6306896956611368E-2</v>
      </c>
    </row>
    <row r="120" spans="1:13" x14ac:dyDescent="0.2">
      <c r="A120" s="1">
        <v>2025</v>
      </c>
      <c r="B120" s="1" t="s">
        <v>11</v>
      </c>
      <c r="C120" s="1" t="str">
        <f t="shared" si="12"/>
        <v>25-Nov</v>
      </c>
      <c r="D120" s="3">
        <v>2576</v>
      </c>
      <c r="E120" s="3">
        <f t="shared" si="20"/>
        <v>1480.812160462368</v>
      </c>
      <c r="F120" s="3">
        <f t="shared" si="21"/>
        <v>3.6253182247697167</v>
      </c>
      <c r="G120" s="3">
        <f t="shared" si="22"/>
        <v>1.6837102478152381</v>
      </c>
      <c r="H120" s="3">
        <f t="shared" si="17"/>
        <v>2417.2241661398707</v>
      </c>
      <c r="I120" s="2">
        <f t="shared" si="16"/>
        <v>158.7758338601293</v>
      </c>
      <c r="J120" s="41">
        <f t="shared" si="18"/>
        <v>25209.765417979379</v>
      </c>
      <c r="K120" s="45">
        <f t="shared" si="19"/>
        <v>6.1636581467441498E-2</v>
      </c>
    </row>
    <row r="121" spans="1:13" x14ac:dyDescent="0.2">
      <c r="A121" s="1">
        <v>2025</v>
      </c>
      <c r="B121" s="1" t="s">
        <v>12</v>
      </c>
      <c r="C121" s="1" t="str">
        <f t="shared" si="12"/>
        <v>25-Dec</v>
      </c>
      <c r="D121" s="3">
        <v>3708</v>
      </c>
      <c r="E121" s="3">
        <f t="shared" si="20"/>
        <v>1514.8833039847955</v>
      </c>
      <c r="F121" s="3">
        <f t="shared" si="21"/>
        <v>7.4296086060079585</v>
      </c>
      <c r="G121" s="3">
        <f t="shared" si="22"/>
        <v>2.3608077985812677</v>
      </c>
      <c r="H121" s="3">
        <f>(E120+1*F120)*G109</f>
        <v>3455.3682094940787</v>
      </c>
      <c r="I121" s="2">
        <f t="shared" si="16"/>
        <v>252.63179050592134</v>
      </c>
      <c r="J121" s="41">
        <f t="shared" si="18"/>
        <v>63822.821574227732</v>
      </c>
      <c r="K121" s="45">
        <f>ABS(I121/D121)</f>
        <v>6.8131550837627119E-2</v>
      </c>
    </row>
    <row r="122" spans="1:13" x14ac:dyDescent="0.2">
      <c r="C122" s="57">
        <v>46048</v>
      </c>
      <c r="D122" s="3">
        <v>1845</v>
      </c>
      <c r="E122" s="3">
        <f t="shared" ref="E122:E125" si="23">$M$17*(D122/G110)+(1-$M$17)*(E121+F121)</f>
        <v>1534.3789206423103</v>
      </c>
      <c r="F122" s="3">
        <f t="shared" ref="F122:F125" si="24">$N$17*(E122-E121)+(1-$N$17)*F121</f>
        <v>8.9372898043830258</v>
      </c>
      <c r="G122" s="3">
        <f t="shared" ref="G122:G125" si="25">$O$17*(D122/E122)+(1-$O$17)*G110</f>
        <v>1.1852226677680142</v>
      </c>
      <c r="H122" s="3">
        <f t="shared" ref="H122:H124" si="26">(E121+1*F121)*G110</f>
        <v>1794.3028832070686</v>
      </c>
      <c r="I122" s="2">
        <f t="shared" ref="I122:I125" si="27">D122-H122</f>
        <v>50.697116792931411</v>
      </c>
      <c r="J122" s="41">
        <f t="shared" ref="J122:J125" si="28">I122^2</f>
        <v>2570.1976511161279</v>
      </c>
      <c r="K122" s="45">
        <f t="shared" ref="K122:K125" si="29">ABS(I122/D122)</f>
        <v>2.7478112082889652E-2</v>
      </c>
    </row>
    <row r="123" spans="1:13" x14ac:dyDescent="0.2">
      <c r="C123" s="57">
        <v>46079</v>
      </c>
      <c r="D123" s="3">
        <v>1414</v>
      </c>
      <c r="E123" s="3">
        <f t="shared" si="23"/>
        <v>1525.9405420551445</v>
      </c>
      <c r="F123" s="3">
        <f t="shared" si="24"/>
        <v>6.7661518081783507</v>
      </c>
      <c r="G123" s="3">
        <f t="shared" si="25"/>
        <v>0.94683243679092433</v>
      </c>
      <c r="H123" s="3">
        <f t="shared" si="26"/>
        <v>1473.1225710859185</v>
      </c>
      <c r="I123" s="2">
        <f t="shared" si="27"/>
        <v>-59.12257108591848</v>
      </c>
      <c r="J123" s="41">
        <f t="shared" si="28"/>
        <v>3495.478411809484</v>
      </c>
      <c r="K123" s="45">
        <f t="shared" si="29"/>
        <v>4.1812285067834853E-2</v>
      </c>
    </row>
    <row r="124" spans="1:13" x14ac:dyDescent="0.2">
      <c r="C124" s="57">
        <v>46107</v>
      </c>
      <c r="D124" s="3">
        <v>1049</v>
      </c>
      <c r="E124" s="3">
        <f t="shared" si="23"/>
        <v>1529.6015355426166</v>
      </c>
      <c r="F124" s="3">
        <f t="shared" si="24"/>
        <v>6.3781536568326693</v>
      </c>
      <c r="G124" s="3">
        <f t="shared" si="25"/>
        <v>0.68839929673506728</v>
      </c>
      <c r="H124" s="3">
        <f t="shared" si="26"/>
        <v>1056.6309011557664</v>
      </c>
      <c r="I124" s="2">
        <f t="shared" si="27"/>
        <v>-7.6309011557664235</v>
      </c>
      <c r="J124" s="41">
        <f t="shared" si="28"/>
        <v>58.23065244907734</v>
      </c>
      <c r="K124" s="45">
        <f t="shared" si="29"/>
        <v>7.2744529606924915E-3</v>
      </c>
    </row>
    <row r="125" spans="1:13" x14ac:dyDescent="0.2">
      <c r="C125" s="57">
        <v>46138</v>
      </c>
      <c r="D125" s="3">
        <v>527</v>
      </c>
      <c r="E125" s="3">
        <f t="shared" si="23"/>
        <v>1520.6648995335802</v>
      </c>
      <c r="F125" s="3">
        <f t="shared" si="24"/>
        <v>4.4645281779058514</v>
      </c>
      <c r="G125" s="3">
        <f t="shared" si="25"/>
        <v>0.3532145111140611</v>
      </c>
      <c r="H125" s="3">
        <f>(E124+1*F124)*G113</f>
        <v>546.42142582271413</v>
      </c>
      <c r="I125" s="2">
        <f t="shared" si="27"/>
        <v>-19.421425822714127</v>
      </c>
      <c r="J125" s="41">
        <f t="shared" si="28"/>
        <v>377.19178098718709</v>
      </c>
      <c r="K125" s="45">
        <f t="shared" si="29"/>
        <v>3.6852800422607454E-2</v>
      </c>
      <c r="L125" s="64" t="s">
        <v>47</v>
      </c>
      <c r="M125" s="64"/>
    </row>
    <row r="126" spans="1:13" x14ac:dyDescent="0.2">
      <c r="C126" s="60" t="s">
        <v>50</v>
      </c>
      <c r="D126" s="59">
        <v>46168</v>
      </c>
      <c r="H126" s="3">
        <f>($E$125+L126*$F$125)*G114</f>
        <v>184.63660992830316</v>
      </c>
      <c r="L126" s="64">
        <v>1</v>
      </c>
      <c r="M126" s="64"/>
    </row>
    <row r="127" spans="1:13" x14ac:dyDescent="0.2">
      <c r="C127" s="60" t="s">
        <v>51</v>
      </c>
      <c r="D127" s="59">
        <v>46199</v>
      </c>
      <c r="H127" s="3">
        <f t="shared" ref="H127:H137" si="30">($E$125+L127*$F$125)*G115</f>
        <v>92.820496956302762</v>
      </c>
      <c r="L127" s="64">
        <v>2</v>
      </c>
      <c r="M127" s="64"/>
    </row>
    <row r="128" spans="1:13" x14ac:dyDescent="0.2">
      <c r="C128" s="60" t="s">
        <v>52</v>
      </c>
      <c r="D128" s="59">
        <v>46229</v>
      </c>
      <c r="H128" s="3">
        <f t="shared" si="30"/>
        <v>89.532306930044598</v>
      </c>
      <c r="L128" s="64">
        <v>3</v>
      </c>
      <c r="M128" s="64"/>
    </row>
    <row r="129" spans="3:13" x14ac:dyDescent="0.2">
      <c r="C129" s="60" t="s">
        <v>54</v>
      </c>
      <c r="D129" s="59">
        <v>46260</v>
      </c>
      <c r="H129" s="3">
        <f t="shared" si="30"/>
        <v>183.91318949821525</v>
      </c>
      <c r="L129" s="64">
        <v>4</v>
      </c>
      <c r="M129" s="64"/>
    </row>
    <row r="130" spans="3:13" x14ac:dyDescent="0.2">
      <c r="C130" s="60" t="s">
        <v>53</v>
      </c>
      <c r="D130" s="59">
        <v>46291</v>
      </c>
      <c r="H130" s="3">
        <f t="shared" si="30"/>
        <v>3190.7925941532931</v>
      </c>
      <c r="L130" s="64">
        <v>5</v>
      </c>
      <c r="M130" s="64"/>
    </row>
    <row r="131" spans="3:13" x14ac:dyDescent="0.2">
      <c r="C131" s="60" t="s">
        <v>55</v>
      </c>
      <c r="D131" s="59">
        <v>46321</v>
      </c>
      <c r="H131" s="3">
        <f t="shared" si="30"/>
        <v>3115.6547846441408</v>
      </c>
      <c r="L131" s="64">
        <v>6</v>
      </c>
      <c r="M131" s="64"/>
    </row>
    <row r="132" spans="3:13" x14ac:dyDescent="0.2">
      <c r="C132" s="60" t="s">
        <v>56</v>
      </c>
      <c r="D132" s="59">
        <v>46352</v>
      </c>
      <c r="H132" s="3">
        <f>($E$125+L132*$F$125)*G120</f>
        <v>2612.9778777512183</v>
      </c>
      <c r="L132" s="64">
        <v>7</v>
      </c>
      <c r="M132" s="64"/>
    </row>
    <row r="133" spans="3:13" x14ac:dyDescent="0.2">
      <c r="C133" s="60" t="s">
        <v>57</v>
      </c>
      <c r="D133" s="59">
        <v>46382</v>
      </c>
      <c r="H133" s="3">
        <f t="shared" si="30"/>
        <v>3674.316697362764</v>
      </c>
      <c r="L133" s="64">
        <v>8</v>
      </c>
      <c r="M133" s="64"/>
    </row>
    <row r="134" spans="3:13" x14ac:dyDescent="0.2">
      <c r="C134" s="60" t="s">
        <v>58</v>
      </c>
      <c r="D134" s="59">
        <v>46049</v>
      </c>
      <c r="H134" s="3">
        <f t="shared" si="30"/>
        <v>1849.9496489824567</v>
      </c>
      <c r="L134" s="64">
        <v>9</v>
      </c>
      <c r="M134" s="64"/>
    </row>
    <row r="135" spans="3:13" x14ac:dyDescent="0.2">
      <c r="C135" s="60" t="s">
        <v>59</v>
      </c>
      <c r="D135" s="59">
        <v>46080</v>
      </c>
      <c r="H135" s="3">
        <f t="shared" si="30"/>
        <v>1482.0864533058891</v>
      </c>
      <c r="L135" s="64">
        <v>10</v>
      </c>
      <c r="M135" s="64"/>
    </row>
    <row r="136" spans="3:13" x14ac:dyDescent="0.2">
      <c r="C136" s="60" t="s">
        <v>60</v>
      </c>
      <c r="D136" s="59">
        <v>46108</v>
      </c>
      <c r="H136" s="3">
        <f t="shared" si="30"/>
        <v>1080.6318060457854</v>
      </c>
      <c r="L136" s="64">
        <v>11</v>
      </c>
      <c r="M136" s="64"/>
    </row>
    <row r="137" spans="3:13" x14ac:dyDescent="0.2">
      <c r="C137" s="60" t="s">
        <v>61</v>
      </c>
      <c r="D137" s="59">
        <v>46139</v>
      </c>
      <c r="H137" s="3">
        <f t="shared" si="30"/>
        <v>556.044142709634</v>
      </c>
      <c r="L137" s="64">
        <v>12</v>
      </c>
      <c r="M137" s="64"/>
    </row>
  </sheetData>
  <mergeCells count="13">
    <mergeCell ref="L130:M130"/>
    <mergeCell ref="L125:M125"/>
    <mergeCell ref="L126:M126"/>
    <mergeCell ref="L127:M127"/>
    <mergeCell ref="L128:M128"/>
    <mergeCell ref="L129:M129"/>
    <mergeCell ref="L137:M137"/>
    <mergeCell ref="L131:M131"/>
    <mergeCell ref="L132:M132"/>
    <mergeCell ref="L133:M133"/>
    <mergeCell ref="L134:M134"/>
    <mergeCell ref="L135:M135"/>
    <mergeCell ref="L136:M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Model Setup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Warren</dc:creator>
  <cp:lastModifiedBy>Evan Warren</cp:lastModifiedBy>
  <dcterms:created xsi:type="dcterms:W3CDTF">2026-04-29T22:34:01Z</dcterms:created>
  <dcterms:modified xsi:type="dcterms:W3CDTF">2026-09-17T22:49:59Z</dcterms:modified>
</cp:coreProperties>
</file>